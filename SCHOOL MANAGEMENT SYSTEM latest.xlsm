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3"/>
  </bookViews>
  <sheets>
    <sheet name="HOME" sheetId="1" r:id="rId1"/>
    <sheet name="ABOUT" sheetId="2" r:id="rId2"/>
    <sheet name="LEARNERS DETAILS" sheetId="3" r:id="rId3"/>
    <sheet name="TEACHERS DETAILS" sheetId="4" r:id="rId4"/>
    <sheet name="LEARNERS EMIS DATA" sheetId="5" r:id="rId5"/>
    <sheet name="TEACHERS EMIS DATA" sheetId="6" r:id="rId6"/>
    <sheet name="FEES PAYMENT TABLE" sheetId="7" r:id="rId7"/>
    <sheet name="ADM RECEIPT" sheetId="8" r:id="rId8"/>
    <sheet name="FEES PAYMENT RECEIPT" sheetId="9" r:id="rId9"/>
    <sheet name="LEARNERS EMIS INFO" sheetId="10" r:id="rId10"/>
    <sheet name="TEACHERS EMIS INFO" sheetId="11" r:id="rId11"/>
    <sheet name="SETTINGS" sheetId="12" r:id="rId12"/>
    <sheet name="LOGIN" sheetId="13" r:id="rId13"/>
  </sheets>
  <definedNames>
    <definedName name="ADMLEARNERS">'LEARNERS DETAILS'!$A$2:$J$219</definedName>
    <definedName name="BANKS">SETTINGS!$F$5:$F$10</definedName>
    <definedName name="CLASS">SETTINGS!$B$5:$B$15</definedName>
    <definedName name="DAATA">OFFSET('TEACHERS DETAILS'!$A$1,1,0,COUNTA('TEACHERS DETAILS'!$A:$A)-1,20)</definedName>
    <definedName name="DATA">OFFSET('LEARNERS DETAILS'!$A$1,1,0,COUNTA('LEARNERS DETAILS'!$A:$A)-1,10)</definedName>
    <definedName name="DESIGNATION">SETTINGS!$L$5:$L$11</definedName>
    <definedName name="DESIGNITION">SETTINGS!$L$5:$L$13</definedName>
    <definedName name="FEES">OFFSET('FEES PAYMENT TABLE'!$A$5,1,0,COUNTA('FEES PAYMENT TABLE'!$A:$M)-1,12)</definedName>
    <definedName name="FEESS">'FEES PAYMENT TABLE'!$A$6:$M$219</definedName>
    <definedName name="QUAL">SETTINGS!$J$5:$J$10</definedName>
    <definedName name="RELATIONSHIPS">SETTINGS!$H$5:$H$11</definedName>
    <definedName name="STATUS">SETTINGS!$N$5:$N$6</definedName>
    <definedName name="SUBJECTS">SETTINGS!$D$5:$D$20</definedName>
  </definedNames>
  <calcPr calcId="145621"/>
</workbook>
</file>

<file path=xl/calcChain.xml><?xml version="1.0" encoding="utf-8"?>
<calcChain xmlns="http://schemas.openxmlformats.org/spreadsheetml/2006/main">
  <c r="B5" i="6" l="1"/>
  <c r="C5" i="6"/>
  <c r="D5" i="6"/>
  <c r="E5" i="6"/>
  <c r="F5" i="6"/>
  <c r="G5" i="6"/>
  <c r="B6" i="6"/>
  <c r="C6" i="6"/>
  <c r="D6" i="6"/>
  <c r="E6" i="6"/>
  <c r="F6" i="6"/>
  <c r="G6" i="6"/>
  <c r="B7" i="6"/>
  <c r="C7" i="6"/>
  <c r="D7" i="6"/>
  <c r="E7" i="6"/>
  <c r="F7" i="6"/>
  <c r="G7" i="6"/>
  <c r="B8" i="6"/>
  <c r="C8" i="6"/>
  <c r="D8" i="6"/>
  <c r="E8" i="6"/>
  <c r="F8" i="6"/>
  <c r="G8" i="6"/>
  <c r="B9" i="6"/>
  <c r="C9" i="6"/>
  <c r="D9" i="6"/>
  <c r="E9" i="6"/>
  <c r="F9" i="6"/>
  <c r="G9" i="6"/>
  <c r="B10" i="6"/>
  <c r="C10" i="6"/>
  <c r="D10" i="6"/>
  <c r="E10" i="6"/>
  <c r="F10" i="6"/>
  <c r="G10" i="6"/>
  <c r="B11" i="6"/>
  <c r="C11" i="6"/>
  <c r="D11" i="6"/>
  <c r="E11" i="6"/>
  <c r="F11" i="6"/>
  <c r="G11" i="6"/>
  <c r="B12" i="6"/>
  <c r="C12" i="6"/>
  <c r="D12" i="6"/>
  <c r="E12" i="6"/>
  <c r="F12" i="6"/>
  <c r="G12" i="6"/>
  <c r="B13" i="6"/>
  <c r="C13" i="6"/>
  <c r="D13" i="6"/>
  <c r="E13" i="6"/>
  <c r="F13" i="6"/>
  <c r="G13" i="6"/>
  <c r="B14" i="6"/>
  <c r="C14" i="6"/>
  <c r="D14" i="6"/>
  <c r="E14" i="6"/>
  <c r="F14" i="6"/>
  <c r="G14" i="6"/>
  <c r="B15" i="6"/>
  <c r="C15" i="6"/>
  <c r="D15" i="6"/>
  <c r="E15" i="6"/>
  <c r="F15" i="6"/>
  <c r="G15" i="6"/>
  <c r="B16" i="6"/>
  <c r="C16" i="6"/>
  <c r="D16" i="6"/>
  <c r="E16" i="6"/>
  <c r="F16" i="6"/>
  <c r="G16" i="6"/>
  <c r="B17" i="6"/>
  <c r="C17" i="6"/>
  <c r="D17" i="6"/>
  <c r="E17" i="6"/>
  <c r="F17" i="6"/>
  <c r="G17" i="6"/>
  <c r="B18" i="6"/>
  <c r="C18" i="6"/>
  <c r="D18" i="6"/>
  <c r="E18" i="6"/>
  <c r="F18" i="6"/>
  <c r="G18" i="6"/>
  <c r="B19" i="6"/>
  <c r="C19" i="6"/>
  <c r="D19" i="6"/>
  <c r="E19" i="6"/>
  <c r="F19" i="6"/>
  <c r="G19" i="6"/>
  <c r="B20" i="6"/>
  <c r="C20" i="6"/>
  <c r="D20" i="6"/>
  <c r="E20" i="6"/>
  <c r="F20" i="6"/>
  <c r="G20" i="6"/>
  <c r="B21" i="6"/>
  <c r="C21" i="6"/>
  <c r="D21" i="6"/>
  <c r="E21" i="6"/>
  <c r="F21" i="6"/>
  <c r="G21" i="6"/>
  <c r="B22" i="6"/>
  <c r="C22" i="6"/>
  <c r="D22" i="6"/>
  <c r="E22" i="6"/>
  <c r="F22" i="6"/>
  <c r="G22" i="6"/>
  <c r="B23" i="6"/>
  <c r="C23" i="6"/>
  <c r="D23" i="6"/>
  <c r="E23" i="6"/>
  <c r="F23" i="6"/>
  <c r="G23" i="6"/>
  <c r="B24" i="6"/>
  <c r="C24" i="6"/>
  <c r="D24" i="6"/>
  <c r="E24" i="6"/>
  <c r="F24" i="6"/>
  <c r="G24" i="6"/>
  <c r="B25" i="6"/>
  <c r="C25" i="6"/>
  <c r="D25" i="6"/>
  <c r="E25" i="6"/>
  <c r="F25" i="6"/>
  <c r="G25" i="6"/>
  <c r="B26" i="6"/>
  <c r="C26" i="6"/>
  <c r="D26" i="6"/>
  <c r="E26" i="6"/>
  <c r="F26" i="6"/>
  <c r="G26" i="6"/>
  <c r="B27" i="6"/>
  <c r="C27" i="6"/>
  <c r="D27" i="6"/>
  <c r="E27" i="6"/>
  <c r="F27" i="6"/>
  <c r="G27" i="6"/>
  <c r="A2" i="6"/>
  <c r="B2" i="6"/>
  <c r="C2" i="6"/>
  <c r="D2" i="6"/>
  <c r="E2" i="6"/>
  <c r="F2" i="6"/>
  <c r="G2" i="6"/>
  <c r="A3" i="6"/>
  <c r="B3" i="6"/>
  <c r="C3" i="6"/>
  <c r="D3" i="6"/>
  <c r="E3" i="6"/>
  <c r="F3" i="6"/>
  <c r="G3" i="6"/>
  <c r="M2" i="6" s="1"/>
  <c r="A4" i="6"/>
  <c r="B4" i="6"/>
  <c r="C4" i="6"/>
  <c r="D4" i="6"/>
  <c r="E4" i="6"/>
  <c r="F4" i="6"/>
  <c r="G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L2" i="6" l="1"/>
  <c r="N2" i="6" s="1"/>
  <c r="F15" i="8"/>
  <c r="F13" i="8"/>
  <c r="F11" i="8"/>
  <c r="F9" i="8"/>
  <c r="F7" i="8"/>
  <c r="B15" i="8"/>
  <c r="B13" i="8"/>
  <c r="B11" i="8"/>
  <c r="B9" i="8"/>
  <c r="B7" i="8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6" i="7"/>
  <c r="F7" i="7"/>
  <c r="F8" i="7"/>
  <c r="F9" i="7"/>
  <c r="F10" i="7"/>
  <c r="A20" i="9" l="1"/>
  <c r="F13" i="9"/>
  <c r="F11" i="9"/>
  <c r="F9" i="9"/>
  <c r="F7" i="9"/>
  <c r="B15" i="9"/>
  <c r="B13" i="9"/>
  <c r="B11" i="9"/>
  <c r="B9" i="9"/>
  <c r="B7" i="9"/>
  <c r="M10" i="7"/>
  <c r="L7" i="7"/>
  <c r="L8" i="7"/>
  <c r="L10" i="7"/>
  <c r="K7" i="7"/>
  <c r="M7" i="7" s="1"/>
  <c r="K8" i="7"/>
  <c r="K9" i="7"/>
  <c r="M9" i="7" s="1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6" i="7"/>
  <c r="M8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M112" i="7" s="1"/>
  <c r="F113" i="7"/>
  <c r="M113" i="7" s="1"/>
  <c r="F114" i="7"/>
  <c r="M114" i="7" s="1"/>
  <c r="F115" i="7"/>
  <c r="F116" i="7"/>
  <c r="M116" i="7" s="1"/>
  <c r="F117" i="7"/>
  <c r="M117" i="7" s="1"/>
  <c r="F118" i="7"/>
  <c r="M118" i="7" s="1"/>
  <c r="F119" i="7"/>
  <c r="F120" i="7"/>
  <c r="M120" i="7" s="1"/>
  <c r="F121" i="7"/>
  <c r="M121" i="7" s="1"/>
  <c r="F122" i="7"/>
  <c r="M122" i="7" s="1"/>
  <c r="F123" i="7"/>
  <c r="F124" i="7"/>
  <c r="M124" i="7" s="1"/>
  <c r="F125" i="7"/>
  <c r="M125" i="7" s="1"/>
  <c r="F126" i="7"/>
  <c r="M126" i="7" s="1"/>
  <c r="F127" i="7"/>
  <c r="F128" i="7"/>
  <c r="M128" i="7" s="1"/>
  <c r="F129" i="7"/>
  <c r="M129" i="7" s="1"/>
  <c r="F130" i="7"/>
  <c r="M130" i="7" s="1"/>
  <c r="F131" i="7"/>
  <c r="F132" i="7"/>
  <c r="M132" i="7" s="1"/>
  <c r="F133" i="7"/>
  <c r="M133" i="7" s="1"/>
  <c r="F134" i="7"/>
  <c r="M134" i="7" s="1"/>
  <c r="F135" i="7"/>
  <c r="F136" i="7"/>
  <c r="M136" i="7" s="1"/>
  <c r="F137" i="7"/>
  <c r="M137" i="7" s="1"/>
  <c r="F138" i="7"/>
  <c r="M138" i="7" s="1"/>
  <c r="F139" i="7"/>
  <c r="M139" i="7" s="1"/>
  <c r="F140" i="7"/>
  <c r="M140" i="7" s="1"/>
  <c r="F141" i="7"/>
  <c r="M141" i="7" s="1"/>
  <c r="F142" i="7"/>
  <c r="M142" i="7" s="1"/>
  <c r="F143" i="7"/>
  <c r="M143" i="7" s="1"/>
  <c r="F144" i="7"/>
  <c r="M144" i="7" s="1"/>
  <c r="F145" i="7"/>
  <c r="M145" i="7" s="1"/>
  <c r="F146" i="7"/>
  <c r="M146" i="7" s="1"/>
  <c r="F147" i="7"/>
  <c r="M147" i="7" s="1"/>
  <c r="F148" i="7"/>
  <c r="M148" i="7" s="1"/>
  <c r="F149" i="7"/>
  <c r="M149" i="7" s="1"/>
  <c r="F150" i="7"/>
  <c r="M150" i="7" s="1"/>
  <c r="F151" i="7"/>
  <c r="M151" i="7" s="1"/>
  <c r="F152" i="7"/>
  <c r="M152" i="7" s="1"/>
  <c r="F153" i="7"/>
  <c r="M153" i="7" s="1"/>
  <c r="F154" i="7"/>
  <c r="M154" i="7" s="1"/>
  <c r="F155" i="7"/>
  <c r="M155" i="7" s="1"/>
  <c r="F156" i="7"/>
  <c r="M156" i="7" s="1"/>
  <c r="F157" i="7"/>
  <c r="M157" i="7" s="1"/>
  <c r="F158" i="7"/>
  <c r="M158" i="7" s="1"/>
  <c r="F159" i="7"/>
  <c r="M159" i="7" s="1"/>
  <c r="F160" i="7"/>
  <c r="M160" i="7" s="1"/>
  <c r="F161" i="7"/>
  <c r="M161" i="7" s="1"/>
  <c r="F162" i="7"/>
  <c r="M162" i="7" s="1"/>
  <c r="F163" i="7"/>
  <c r="M163" i="7" s="1"/>
  <c r="F164" i="7"/>
  <c r="M164" i="7" s="1"/>
  <c r="F165" i="7"/>
  <c r="M165" i="7" s="1"/>
  <c r="F166" i="7"/>
  <c r="M166" i="7" s="1"/>
  <c r="F167" i="7"/>
  <c r="M167" i="7" s="1"/>
  <c r="F168" i="7"/>
  <c r="M168" i="7" s="1"/>
  <c r="F169" i="7"/>
  <c r="M169" i="7" s="1"/>
  <c r="F170" i="7"/>
  <c r="M170" i="7" s="1"/>
  <c r="F171" i="7"/>
  <c r="M171" i="7" s="1"/>
  <c r="F172" i="7"/>
  <c r="M172" i="7" s="1"/>
  <c r="F173" i="7"/>
  <c r="M173" i="7" s="1"/>
  <c r="F174" i="7"/>
  <c r="M174" i="7" s="1"/>
  <c r="F175" i="7"/>
  <c r="M175" i="7" s="1"/>
  <c r="F176" i="7"/>
  <c r="M176" i="7" s="1"/>
  <c r="F177" i="7"/>
  <c r="M177" i="7" s="1"/>
  <c r="F178" i="7"/>
  <c r="M178" i="7" s="1"/>
  <c r="F179" i="7"/>
  <c r="M179" i="7" s="1"/>
  <c r="F180" i="7"/>
  <c r="M180" i="7" s="1"/>
  <c r="F181" i="7"/>
  <c r="M181" i="7" s="1"/>
  <c r="F182" i="7"/>
  <c r="M182" i="7" s="1"/>
  <c r="F183" i="7"/>
  <c r="M183" i="7" s="1"/>
  <c r="F184" i="7"/>
  <c r="M184" i="7" s="1"/>
  <c r="F185" i="7"/>
  <c r="M185" i="7" s="1"/>
  <c r="F186" i="7"/>
  <c r="M186" i="7" s="1"/>
  <c r="F187" i="7"/>
  <c r="M187" i="7" s="1"/>
  <c r="F188" i="7"/>
  <c r="M188" i="7" s="1"/>
  <c r="F189" i="7"/>
  <c r="M189" i="7" s="1"/>
  <c r="F190" i="7"/>
  <c r="M190" i="7" s="1"/>
  <c r="F191" i="7"/>
  <c r="M191" i="7" s="1"/>
  <c r="F192" i="7"/>
  <c r="M192" i="7" s="1"/>
  <c r="F193" i="7"/>
  <c r="M193" i="7" s="1"/>
  <c r="F194" i="7"/>
  <c r="M194" i="7" s="1"/>
  <c r="F195" i="7"/>
  <c r="M195" i="7" s="1"/>
  <c r="F196" i="7"/>
  <c r="M196" i="7" s="1"/>
  <c r="F197" i="7"/>
  <c r="M197" i="7" s="1"/>
  <c r="F198" i="7"/>
  <c r="M198" i="7" s="1"/>
  <c r="F199" i="7"/>
  <c r="M199" i="7" s="1"/>
  <c r="F200" i="7"/>
  <c r="M200" i="7" s="1"/>
  <c r="F201" i="7"/>
  <c r="M201" i="7" s="1"/>
  <c r="F202" i="7"/>
  <c r="M202" i="7" s="1"/>
  <c r="F203" i="7"/>
  <c r="M203" i="7" s="1"/>
  <c r="F204" i="7"/>
  <c r="M204" i="7" s="1"/>
  <c r="F205" i="7"/>
  <c r="M205" i="7" s="1"/>
  <c r="F206" i="7"/>
  <c r="M206" i="7" s="1"/>
  <c r="F207" i="7"/>
  <c r="M207" i="7" s="1"/>
  <c r="F208" i="7"/>
  <c r="M208" i="7" s="1"/>
  <c r="F209" i="7"/>
  <c r="M209" i="7" s="1"/>
  <c r="F210" i="7"/>
  <c r="M210" i="7" s="1"/>
  <c r="F211" i="7"/>
  <c r="M211" i="7" s="1"/>
  <c r="F212" i="7"/>
  <c r="M212" i="7" s="1"/>
  <c r="F213" i="7"/>
  <c r="M213" i="7" s="1"/>
  <c r="F214" i="7"/>
  <c r="M214" i="7" s="1"/>
  <c r="F215" i="7"/>
  <c r="M215" i="7" s="1"/>
  <c r="F216" i="7"/>
  <c r="M216" i="7" s="1"/>
  <c r="F217" i="7"/>
  <c r="M217" i="7" s="1"/>
  <c r="F218" i="7"/>
  <c r="M218" i="7" s="1"/>
  <c r="F219" i="7"/>
  <c r="M219" i="7" s="1"/>
  <c r="M110" i="7" l="1"/>
  <c r="L110" i="7"/>
  <c r="M106" i="7"/>
  <c r="L106" i="7"/>
  <c r="M102" i="7"/>
  <c r="L102" i="7"/>
  <c r="M98" i="7"/>
  <c r="L98" i="7"/>
  <c r="M94" i="7"/>
  <c r="L94" i="7"/>
  <c r="M90" i="7"/>
  <c r="L90" i="7"/>
  <c r="M86" i="7"/>
  <c r="L86" i="7"/>
  <c r="M82" i="7"/>
  <c r="L82" i="7"/>
  <c r="M78" i="7"/>
  <c r="L78" i="7"/>
  <c r="M74" i="7"/>
  <c r="L74" i="7"/>
  <c r="M70" i="7"/>
  <c r="L70" i="7"/>
  <c r="M66" i="7"/>
  <c r="L66" i="7"/>
  <c r="M62" i="7"/>
  <c r="L62" i="7"/>
  <c r="M58" i="7"/>
  <c r="L58" i="7"/>
  <c r="M54" i="7"/>
  <c r="L54" i="7"/>
  <c r="M50" i="7"/>
  <c r="L50" i="7"/>
  <c r="M46" i="7"/>
  <c r="L46" i="7"/>
  <c r="M42" i="7"/>
  <c r="L42" i="7"/>
  <c r="M38" i="7"/>
  <c r="L38" i="7"/>
  <c r="M34" i="7"/>
  <c r="L34" i="7"/>
  <c r="M30" i="7"/>
  <c r="L30" i="7"/>
  <c r="M26" i="7"/>
  <c r="L26" i="7"/>
  <c r="M22" i="7"/>
  <c r="L22" i="7"/>
  <c r="M18" i="7"/>
  <c r="L18" i="7"/>
  <c r="M14" i="7"/>
  <c r="L14" i="7"/>
  <c r="L218" i="7"/>
  <c r="L214" i="7"/>
  <c r="L210" i="7"/>
  <c r="L206" i="7"/>
  <c r="L202" i="7"/>
  <c r="L198" i="7"/>
  <c r="L194" i="7"/>
  <c r="L190" i="7"/>
  <c r="L186" i="7"/>
  <c r="L182" i="7"/>
  <c r="L178" i="7"/>
  <c r="L174" i="7"/>
  <c r="L170" i="7"/>
  <c r="L166" i="7"/>
  <c r="L162" i="7"/>
  <c r="L158" i="7"/>
  <c r="L154" i="7"/>
  <c r="L150" i="7"/>
  <c r="L146" i="7"/>
  <c r="L142" i="7"/>
  <c r="L138" i="7"/>
  <c r="L133" i="7"/>
  <c r="L128" i="7"/>
  <c r="L122" i="7"/>
  <c r="L117" i="7"/>
  <c r="L112" i="7"/>
  <c r="M109" i="7"/>
  <c r="L109" i="7"/>
  <c r="M105" i="7"/>
  <c r="L105" i="7"/>
  <c r="M101" i="7"/>
  <c r="L101" i="7"/>
  <c r="M97" i="7"/>
  <c r="L97" i="7"/>
  <c r="M93" i="7"/>
  <c r="L93" i="7"/>
  <c r="M89" i="7"/>
  <c r="L89" i="7"/>
  <c r="M85" i="7"/>
  <c r="L85" i="7"/>
  <c r="M81" i="7"/>
  <c r="L81" i="7"/>
  <c r="M77" i="7"/>
  <c r="L77" i="7"/>
  <c r="M73" i="7"/>
  <c r="L73" i="7"/>
  <c r="M69" i="7"/>
  <c r="L69" i="7"/>
  <c r="M65" i="7"/>
  <c r="L65" i="7"/>
  <c r="M61" i="7"/>
  <c r="L61" i="7"/>
  <c r="M57" i="7"/>
  <c r="L57" i="7"/>
  <c r="M53" i="7"/>
  <c r="L53" i="7"/>
  <c r="M49" i="7"/>
  <c r="L49" i="7"/>
  <c r="M45" i="7"/>
  <c r="L45" i="7"/>
  <c r="M41" i="7"/>
  <c r="L41" i="7"/>
  <c r="M37" i="7"/>
  <c r="L37" i="7"/>
  <c r="M33" i="7"/>
  <c r="L33" i="7"/>
  <c r="M29" i="7"/>
  <c r="L29" i="7"/>
  <c r="M25" i="7"/>
  <c r="L25" i="7"/>
  <c r="M21" i="7"/>
  <c r="L21" i="7"/>
  <c r="M17" i="7"/>
  <c r="L17" i="7"/>
  <c r="M13" i="7"/>
  <c r="L13" i="7"/>
  <c r="L217" i="7"/>
  <c r="L213" i="7"/>
  <c r="L209" i="7"/>
  <c r="L205" i="7"/>
  <c r="L201" i="7"/>
  <c r="L197" i="7"/>
  <c r="L193" i="7"/>
  <c r="L189" i="7"/>
  <c r="L185" i="7"/>
  <c r="L181" i="7"/>
  <c r="L177" i="7"/>
  <c r="L173" i="7"/>
  <c r="L169" i="7"/>
  <c r="L165" i="7"/>
  <c r="L161" i="7"/>
  <c r="L157" i="7"/>
  <c r="L153" i="7"/>
  <c r="L149" i="7"/>
  <c r="L145" i="7"/>
  <c r="L141" i="7"/>
  <c r="L137" i="7"/>
  <c r="L132" i="7"/>
  <c r="L126" i="7"/>
  <c r="L121" i="7"/>
  <c r="L116" i="7"/>
  <c r="M108" i="7"/>
  <c r="L108" i="7"/>
  <c r="M104" i="7"/>
  <c r="L104" i="7"/>
  <c r="M100" i="7"/>
  <c r="L100" i="7"/>
  <c r="M96" i="7"/>
  <c r="L96" i="7"/>
  <c r="M92" i="7"/>
  <c r="L92" i="7"/>
  <c r="M88" i="7"/>
  <c r="L88" i="7"/>
  <c r="M84" i="7"/>
  <c r="L84" i="7"/>
  <c r="M80" i="7"/>
  <c r="L80" i="7"/>
  <c r="M76" i="7"/>
  <c r="L76" i="7"/>
  <c r="M72" i="7"/>
  <c r="L72" i="7"/>
  <c r="M68" i="7"/>
  <c r="L68" i="7"/>
  <c r="M64" i="7"/>
  <c r="L64" i="7"/>
  <c r="M60" i="7"/>
  <c r="L60" i="7"/>
  <c r="M56" i="7"/>
  <c r="L56" i="7"/>
  <c r="M52" i="7"/>
  <c r="L52" i="7"/>
  <c r="M48" i="7"/>
  <c r="L48" i="7"/>
  <c r="M44" i="7"/>
  <c r="L44" i="7"/>
  <c r="M40" i="7"/>
  <c r="L40" i="7"/>
  <c r="M36" i="7"/>
  <c r="L36" i="7"/>
  <c r="M32" i="7"/>
  <c r="L32" i="7"/>
  <c r="M28" i="7"/>
  <c r="L28" i="7"/>
  <c r="M24" i="7"/>
  <c r="L24" i="7"/>
  <c r="M20" i="7"/>
  <c r="L20" i="7"/>
  <c r="M16" i="7"/>
  <c r="L16" i="7"/>
  <c r="M12" i="7"/>
  <c r="L12" i="7"/>
  <c r="L216" i="7"/>
  <c r="L212" i="7"/>
  <c r="L208" i="7"/>
  <c r="L204" i="7"/>
  <c r="L200" i="7"/>
  <c r="L196" i="7"/>
  <c r="L192" i="7"/>
  <c r="L188" i="7"/>
  <c r="L184" i="7"/>
  <c r="L180" i="7"/>
  <c r="L176" i="7"/>
  <c r="L172" i="7"/>
  <c r="L168" i="7"/>
  <c r="L164" i="7"/>
  <c r="L160" i="7"/>
  <c r="L156" i="7"/>
  <c r="L152" i="7"/>
  <c r="L148" i="7"/>
  <c r="L144" i="7"/>
  <c r="L140" i="7"/>
  <c r="L136" i="7"/>
  <c r="L130" i="7"/>
  <c r="L125" i="7"/>
  <c r="L120" i="7"/>
  <c r="L114" i="7"/>
  <c r="M135" i="7"/>
  <c r="L135" i="7"/>
  <c r="M131" i="7"/>
  <c r="L131" i="7"/>
  <c r="M127" i="7"/>
  <c r="L127" i="7"/>
  <c r="M123" i="7"/>
  <c r="L123" i="7"/>
  <c r="M119" i="7"/>
  <c r="L119" i="7"/>
  <c r="M115" i="7"/>
  <c r="L115" i="7"/>
  <c r="M111" i="7"/>
  <c r="L111" i="7"/>
  <c r="M107" i="7"/>
  <c r="L107" i="7"/>
  <c r="M103" i="7"/>
  <c r="L103" i="7"/>
  <c r="M99" i="7"/>
  <c r="L99" i="7"/>
  <c r="M95" i="7"/>
  <c r="L95" i="7"/>
  <c r="M91" i="7"/>
  <c r="L91" i="7"/>
  <c r="M87" i="7"/>
  <c r="L87" i="7"/>
  <c r="M83" i="7"/>
  <c r="L83" i="7"/>
  <c r="M79" i="7"/>
  <c r="L79" i="7"/>
  <c r="M75" i="7"/>
  <c r="L75" i="7"/>
  <c r="M71" i="7"/>
  <c r="L71" i="7"/>
  <c r="M67" i="7"/>
  <c r="L67" i="7"/>
  <c r="M63" i="7"/>
  <c r="L63" i="7"/>
  <c r="M59" i="7"/>
  <c r="L59" i="7"/>
  <c r="M55" i="7"/>
  <c r="L55" i="7"/>
  <c r="M51" i="7"/>
  <c r="L51" i="7"/>
  <c r="M47" i="7"/>
  <c r="L47" i="7"/>
  <c r="M43" i="7"/>
  <c r="L43" i="7"/>
  <c r="M39" i="7"/>
  <c r="L39" i="7"/>
  <c r="M35" i="7"/>
  <c r="L35" i="7"/>
  <c r="M31" i="7"/>
  <c r="L31" i="7"/>
  <c r="M27" i="7"/>
  <c r="L27" i="7"/>
  <c r="M23" i="7"/>
  <c r="L23" i="7"/>
  <c r="M19" i="7"/>
  <c r="L19" i="7"/>
  <c r="M15" i="7"/>
  <c r="L15" i="7"/>
  <c r="M11" i="7"/>
  <c r="L11" i="7"/>
  <c r="L219" i="7"/>
  <c r="L215" i="7"/>
  <c r="L211" i="7"/>
  <c r="L207" i="7"/>
  <c r="L203" i="7"/>
  <c r="L199" i="7"/>
  <c r="L195" i="7"/>
  <c r="L191" i="7"/>
  <c r="L187" i="7"/>
  <c r="L183" i="7"/>
  <c r="L179" i="7"/>
  <c r="L175" i="7"/>
  <c r="L171" i="7"/>
  <c r="L167" i="7"/>
  <c r="L163" i="7"/>
  <c r="L159" i="7"/>
  <c r="L155" i="7"/>
  <c r="L151" i="7"/>
  <c r="L147" i="7"/>
  <c r="L143" i="7"/>
  <c r="L139" i="7"/>
  <c r="L134" i="7"/>
  <c r="L129" i="7"/>
  <c r="L124" i="7"/>
  <c r="L118" i="7"/>
  <c r="L113" i="7"/>
  <c r="L9" i="7"/>
  <c r="F6" i="7"/>
  <c r="HK2" i="6"/>
  <c r="HJ2" i="6"/>
  <c r="HI2" i="6"/>
  <c r="HH2" i="6"/>
  <c r="HD2" i="6"/>
  <c r="HC2" i="6"/>
  <c r="HB2" i="6"/>
  <c r="HA2" i="6"/>
  <c r="GW2" i="6"/>
  <c r="GV2" i="6"/>
  <c r="GU2" i="6"/>
  <c r="GT2" i="6"/>
  <c r="GP2" i="6"/>
  <c r="GO2" i="6"/>
  <c r="GN2" i="6"/>
  <c r="GM2" i="6"/>
  <c r="GI2" i="6"/>
  <c r="GH2" i="6"/>
  <c r="GG2" i="6"/>
  <c r="GF2" i="6"/>
  <c r="GB2" i="6"/>
  <c r="GA2" i="6"/>
  <c r="FZ2" i="6"/>
  <c r="FY2" i="6"/>
  <c r="FU2" i="6"/>
  <c r="FT2" i="6"/>
  <c r="FS2" i="6"/>
  <c r="FR2" i="6"/>
  <c r="FN2" i="6"/>
  <c r="FM2" i="6"/>
  <c r="FL2" i="6"/>
  <c r="FK2" i="6"/>
  <c r="FG2" i="6"/>
  <c r="FF2" i="6"/>
  <c r="FE2" i="6"/>
  <c r="FD2" i="6"/>
  <c r="EZ2" i="6"/>
  <c r="EY2" i="6"/>
  <c r="EX2" i="6"/>
  <c r="EW2" i="6"/>
  <c r="ES2" i="6"/>
  <c r="ER2" i="6"/>
  <c r="EQ2" i="6"/>
  <c r="EP2" i="6"/>
  <c r="EL2" i="6"/>
  <c r="EK2" i="6"/>
  <c r="EJ2" i="6"/>
  <c r="EI2" i="6"/>
  <c r="EE2" i="6"/>
  <c r="ED2" i="6"/>
  <c r="EC2" i="6"/>
  <c r="EB2" i="6"/>
  <c r="DX2" i="6"/>
  <c r="DW2" i="6"/>
  <c r="DV2" i="6"/>
  <c r="DU2" i="6"/>
  <c r="DQ2" i="6"/>
  <c r="DP2" i="6"/>
  <c r="DO2" i="6"/>
  <c r="DN2" i="6"/>
  <c r="DJ2" i="6"/>
  <c r="DI2" i="6"/>
  <c r="DH2" i="6"/>
  <c r="DG2" i="6"/>
  <c r="DC2" i="6"/>
  <c r="DB2" i="6"/>
  <c r="DA2" i="6"/>
  <c r="CZ2" i="6"/>
  <c r="CV2" i="6"/>
  <c r="CU2" i="6"/>
  <c r="CT2" i="6"/>
  <c r="CS2" i="6"/>
  <c r="CO2" i="6"/>
  <c r="CN2" i="6"/>
  <c r="CM2" i="6"/>
  <c r="CL2" i="6"/>
  <c r="CH2" i="6"/>
  <c r="CG2" i="6"/>
  <c r="CF2" i="6"/>
  <c r="CE2" i="6"/>
  <c r="CA2" i="6"/>
  <c r="BZ2" i="6"/>
  <c r="BY2" i="6"/>
  <c r="BX2" i="6"/>
  <c r="BT2" i="6"/>
  <c r="BS2" i="6"/>
  <c r="BR2" i="6"/>
  <c r="BQ2" i="6"/>
  <c r="BM2" i="6"/>
  <c r="BL2" i="6"/>
  <c r="BK2" i="6"/>
  <c r="BJ2" i="6"/>
  <c r="BF2" i="6"/>
  <c r="BE2" i="6"/>
  <c r="BD2" i="6"/>
  <c r="BC2" i="6"/>
  <c r="AY2" i="6"/>
  <c r="AX2" i="6"/>
  <c r="AW2" i="6"/>
  <c r="AV2" i="6"/>
  <c r="AR2" i="6"/>
  <c r="AQ2" i="6"/>
  <c r="AP2" i="6"/>
  <c r="AO2" i="6"/>
  <c r="AK2" i="6"/>
  <c r="AJ2" i="6"/>
  <c r="AI2" i="6"/>
  <c r="AH2" i="6"/>
  <c r="AD2" i="6"/>
  <c r="AC2" i="6"/>
  <c r="AB2" i="6"/>
  <c r="AA2" i="6"/>
  <c r="W2" i="6"/>
  <c r="Y2" i="6"/>
  <c r="Z2" i="6"/>
  <c r="V2" i="6"/>
  <c r="U2" i="6"/>
  <c r="T2" i="6"/>
  <c r="HG2" i="6"/>
  <c r="HF2" i="6"/>
  <c r="GZ2" i="6"/>
  <c r="GY2" i="6"/>
  <c r="GS2" i="6"/>
  <c r="GR2" i="6"/>
  <c r="GL2" i="6"/>
  <c r="GK2" i="6"/>
  <c r="GE2" i="6"/>
  <c r="GD2" i="6"/>
  <c r="FX2" i="6"/>
  <c r="FW2" i="6"/>
  <c r="FQ2" i="6"/>
  <c r="FP2" i="6"/>
  <c r="FJ2" i="6"/>
  <c r="FI2" i="6"/>
  <c r="FC2" i="6"/>
  <c r="FB2" i="6"/>
  <c r="EV2" i="6"/>
  <c r="EU2" i="6"/>
  <c r="EO2" i="6"/>
  <c r="EN2" i="6"/>
  <c r="EH2" i="6"/>
  <c r="EG2" i="6"/>
  <c r="EA2" i="6"/>
  <c r="DZ2" i="6"/>
  <c r="DT2" i="6"/>
  <c r="DS2" i="6"/>
  <c r="DM2" i="6"/>
  <c r="DL2" i="6"/>
  <c r="DF2" i="6"/>
  <c r="DE2" i="6"/>
  <c r="CY2" i="6"/>
  <c r="CX2" i="6"/>
  <c r="CR2" i="6"/>
  <c r="CQ2" i="6"/>
  <c r="CK2" i="6"/>
  <c r="CJ2" i="6"/>
  <c r="CD2" i="6"/>
  <c r="CC2" i="6"/>
  <c r="BW2" i="6"/>
  <c r="BV2" i="6"/>
  <c r="BP2" i="6"/>
  <c r="BO2" i="6"/>
  <c r="BI2" i="6"/>
  <c r="BH2" i="6"/>
  <c r="BB2" i="6"/>
  <c r="BA2" i="6"/>
  <c r="AU2" i="6"/>
  <c r="AT2" i="6"/>
  <c r="AN2" i="6"/>
  <c r="AM2" i="6"/>
  <c r="AG2" i="6"/>
  <c r="AF2" i="6"/>
  <c r="S2" i="6"/>
  <c r="R2" i="6"/>
  <c r="M6" i="7" l="1"/>
  <c r="F20" i="9" s="1"/>
  <c r="B17" i="9"/>
  <c r="L6" i="7"/>
  <c r="B20" i="9" s="1"/>
  <c r="G28" i="6"/>
  <c r="G29" i="6"/>
  <c r="G30" i="6"/>
  <c r="F28" i="6" l="1"/>
  <c r="F29" i="6"/>
  <c r="F30" i="6"/>
  <c r="E28" i="6"/>
  <c r="E29" i="6"/>
  <c r="E30" i="6"/>
  <c r="D28" i="6"/>
  <c r="D29" i="6"/>
  <c r="D30" i="6"/>
  <c r="C28" i="6"/>
  <c r="C29" i="6"/>
  <c r="C30" i="6"/>
  <c r="B28" i="6"/>
  <c r="B29" i="6"/>
  <c r="B30" i="6"/>
  <c r="A24" i="6"/>
  <c r="A25" i="6"/>
  <c r="A26" i="6"/>
  <c r="A27" i="6"/>
  <c r="A28" i="6"/>
  <c r="A29" i="6"/>
  <c r="A30" i="6"/>
  <c r="BH222" i="3" l="1"/>
  <c r="BG2" i="5" s="1"/>
  <c r="E27" i="5" s="1"/>
  <c r="BG222" i="3"/>
  <c r="BF2" i="5" s="1"/>
  <c r="C27" i="5" s="1"/>
  <c r="BD222" i="3"/>
  <c r="BC2" i="5" s="1"/>
  <c r="E25" i="5" s="1"/>
  <c r="BC222" i="3"/>
  <c r="AZ222" i="3"/>
  <c r="AY2" i="5" s="1"/>
  <c r="E23" i="5" s="1"/>
  <c r="AY222" i="3"/>
  <c r="AV222" i="3"/>
  <c r="AU2" i="5" s="1"/>
  <c r="E21" i="5" s="1"/>
  <c r="AU222" i="3"/>
  <c r="AR222" i="3"/>
  <c r="AQ2" i="5" s="1"/>
  <c r="E19" i="5" s="1"/>
  <c r="AQ222" i="3"/>
  <c r="AN222" i="3"/>
  <c r="AM2" i="5" s="1"/>
  <c r="E17" i="5" s="1"/>
  <c r="AM222" i="3"/>
  <c r="AJ222" i="3"/>
  <c r="AI2" i="5" s="1"/>
  <c r="E15" i="5" s="1"/>
  <c r="AI222" i="3"/>
  <c r="AF222" i="3"/>
  <c r="AE2" i="5" s="1"/>
  <c r="E13" i="5" s="1"/>
  <c r="AE222" i="3"/>
  <c r="AB222" i="3"/>
  <c r="AA2" i="5" s="1"/>
  <c r="E11" i="5" s="1"/>
  <c r="AA222" i="3"/>
  <c r="X222" i="3"/>
  <c r="W2" i="5" s="1"/>
  <c r="E9" i="5" s="1"/>
  <c r="W222" i="3"/>
  <c r="T222" i="3"/>
  <c r="S2" i="5" s="1"/>
  <c r="E7" i="5" s="1"/>
  <c r="S222" i="3"/>
  <c r="P222" i="3"/>
  <c r="O2" i="5" s="1"/>
  <c r="E5" i="5" s="1"/>
  <c r="O222" i="3"/>
  <c r="BE222" i="3" l="1"/>
  <c r="BD2" i="5" s="1"/>
  <c r="G25" i="5" s="1"/>
  <c r="BB2" i="5"/>
  <c r="C25" i="5" s="1"/>
  <c r="Y222" i="3"/>
  <c r="X2" i="5" s="1"/>
  <c r="G9" i="5" s="1"/>
  <c r="V2" i="5"/>
  <c r="C9" i="5" s="1"/>
  <c r="AO222" i="3"/>
  <c r="AN2" i="5" s="1"/>
  <c r="G17" i="5" s="1"/>
  <c r="AL2" i="5"/>
  <c r="C17" i="5" s="1"/>
  <c r="AW222" i="3"/>
  <c r="AV2" i="5" s="1"/>
  <c r="G21" i="5" s="1"/>
  <c r="AT2" i="5"/>
  <c r="C21" i="5" s="1"/>
  <c r="AG222" i="3"/>
  <c r="AF2" i="5" s="1"/>
  <c r="G13" i="5" s="1"/>
  <c r="AD2" i="5"/>
  <c r="C13" i="5" s="1"/>
  <c r="AC222" i="3"/>
  <c r="AB2" i="5" s="1"/>
  <c r="G11" i="5" s="1"/>
  <c r="Z2" i="5"/>
  <c r="C11" i="5" s="1"/>
  <c r="AK222" i="3"/>
  <c r="AJ2" i="5" s="1"/>
  <c r="G15" i="5" s="1"/>
  <c r="AH2" i="5"/>
  <c r="C15" i="5" s="1"/>
  <c r="AS222" i="3"/>
  <c r="AR2" i="5" s="1"/>
  <c r="G19" i="5" s="1"/>
  <c r="AP2" i="5"/>
  <c r="C19" i="5" s="1"/>
  <c r="BA222" i="3"/>
  <c r="AZ2" i="5" s="1"/>
  <c r="AX2" i="5"/>
  <c r="C23" i="5" s="1"/>
  <c r="U222" i="3"/>
  <c r="T2" i="5" s="1"/>
  <c r="G7" i="5" s="1"/>
  <c r="R2" i="5"/>
  <c r="C7" i="5" s="1"/>
  <c r="BJ222" i="3"/>
  <c r="BI2" i="5" s="1"/>
  <c r="C29" i="5" s="1"/>
  <c r="N2" i="5"/>
  <c r="C5" i="5" s="1"/>
  <c r="BI222" i="3"/>
  <c r="BH2" i="5" s="1"/>
  <c r="BK222" i="3"/>
  <c r="Q222" i="3"/>
  <c r="P2" i="5" s="1"/>
  <c r="G5" i="5" s="1"/>
  <c r="G27" i="5" l="1"/>
  <c r="G23" i="5"/>
  <c r="BL222" i="3"/>
  <c r="BK2" i="5" s="1"/>
  <c r="G29" i="5" s="1"/>
  <c r="BJ2" i="5"/>
  <c r="E29" i="5" s="1"/>
</calcChain>
</file>

<file path=xl/sharedStrings.xml><?xml version="1.0" encoding="utf-8"?>
<sst xmlns="http://schemas.openxmlformats.org/spreadsheetml/2006/main" count="556" uniqueCount="145">
  <si>
    <t>ETHATEC IT SERVICES</t>
  </si>
  <si>
    <t>ST.ANUARITE GIRLS SCHOOL</t>
  </si>
  <si>
    <t>SCHOOL MANAGEMENT SYSTEM</t>
  </si>
  <si>
    <t>ABOUT THE SYSTEM</t>
  </si>
  <si>
    <t>ADM NO</t>
  </si>
  <si>
    <t>NAME</t>
  </si>
  <si>
    <t>GRADE</t>
  </si>
  <si>
    <t>DOB</t>
  </si>
  <si>
    <t>DOA</t>
  </si>
  <si>
    <t>ADM FEE</t>
  </si>
  <si>
    <t>GUARDIAN NAME</t>
  </si>
  <si>
    <t>ADRESS</t>
  </si>
  <si>
    <t>CONTACT</t>
  </si>
  <si>
    <t>ID</t>
  </si>
  <si>
    <t>TSC NO</t>
  </si>
  <si>
    <t>SUBJECTS</t>
  </si>
  <si>
    <t>PHONE</t>
  </si>
  <si>
    <t>SHA NO</t>
  </si>
  <si>
    <t>NSSF NO</t>
  </si>
  <si>
    <t>DOE</t>
  </si>
  <si>
    <t>DESIGNATION</t>
  </si>
  <si>
    <t>ACADEMIC QUALIFICATION</t>
  </si>
  <si>
    <t>EMAIL ADDRESS</t>
  </si>
  <si>
    <t>BANK NAME</t>
  </si>
  <si>
    <t>ACCOUNT NO</t>
  </si>
  <si>
    <t>GROSS SALARY</t>
  </si>
  <si>
    <t>NET SALARY</t>
  </si>
  <si>
    <t>HOMETOWN</t>
  </si>
  <si>
    <t>NEXT OF KIN</t>
  </si>
  <si>
    <t>RELATIONSHIP</t>
  </si>
  <si>
    <t>STUDENT EMIS DATA</t>
  </si>
  <si>
    <t>MALE</t>
  </si>
  <si>
    <t>FEMALE</t>
  </si>
  <si>
    <t>TOTAL</t>
  </si>
  <si>
    <t>GRADE 1</t>
  </si>
  <si>
    <t>GRADE 2</t>
  </si>
  <si>
    <t>GRADE 3</t>
  </si>
  <si>
    <t>GRADE 4</t>
  </si>
  <si>
    <t>GRADE 5</t>
  </si>
  <si>
    <t>GRADE 6</t>
  </si>
  <si>
    <t>GRADE 7</t>
  </si>
  <si>
    <t>GRADE 8</t>
  </si>
  <si>
    <t>GRADE 9</t>
  </si>
  <si>
    <t>GRADE 10</t>
  </si>
  <si>
    <t>GRADE 11</t>
  </si>
  <si>
    <t>GRADE 12</t>
  </si>
  <si>
    <t>MALE TOTAL</t>
  </si>
  <si>
    <t>FEMALE TOTAL</t>
  </si>
  <si>
    <t>GRAND TOTAL</t>
  </si>
  <si>
    <t>SN</t>
  </si>
  <si>
    <t>SIGNATURE</t>
  </si>
  <si>
    <t>GENDER</t>
  </si>
  <si>
    <t>FEE</t>
  </si>
  <si>
    <t>INSTALLMENT 1</t>
  </si>
  <si>
    <t>INSTALLMENT 2</t>
  </si>
  <si>
    <t>INSTALLEMENT 3</t>
  </si>
  <si>
    <t>INSTALLMENT 4</t>
  </si>
  <si>
    <t>RECEIVED</t>
  </si>
  <si>
    <t>STATUS</t>
  </si>
  <si>
    <t>FEES PAYMENT DATABASE</t>
  </si>
  <si>
    <t>GUARDIAN</t>
  </si>
  <si>
    <t>ADDRESS</t>
  </si>
  <si>
    <t>PRINCIPALS SIGNATURE</t>
  </si>
  <si>
    <t>DEPUTY PRINCIPALS SIGNATURE</t>
  </si>
  <si>
    <t>ST.ANUARITE JUNIOR &amp; SENIOR SCHOOL</t>
  </si>
  <si>
    <t>P.O BOX 225 - NJABINI</t>
  </si>
  <si>
    <t>st.anuarite.njabini@gmail.com</t>
  </si>
  <si>
    <t>TEL: 0790264727 / 0721994980</t>
  </si>
  <si>
    <t>OFFICIAL ADMISSION RECEIPT</t>
  </si>
  <si>
    <t>SEARCH</t>
  </si>
  <si>
    <t>ADM DATE</t>
  </si>
  <si>
    <t>FEES</t>
  </si>
  <si>
    <t>INSTALLMENT 3</t>
  </si>
  <si>
    <t>BALANCE</t>
  </si>
  <si>
    <t>FEES PAYMENT RECEIPT</t>
  </si>
  <si>
    <t>REGION</t>
  </si>
  <si>
    <t>TOWN</t>
  </si>
  <si>
    <t>SCHOOL</t>
  </si>
  <si>
    <t>REMARK</t>
  </si>
  <si>
    <t>ENROLLMENT</t>
  </si>
  <si>
    <t>LEARNERS ENROLLMENT DATA FOR EMIS INFORMATION</t>
  </si>
  <si>
    <t>NAME OF PRINCIPAL</t>
  </si>
  <si>
    <t>SIGNATURE AND STAMP</t>
  </si>
  <si>
    <t>STAFF LIST FOR EMIS DATA</t>
  </si>
  <si>
    <t>QUAL</t>
  </si>
  <si>
    <t>NSSF</t>
  </si>
  <si>
    <t>SHA</t>
  </si>
  <si>
    <t>ABSENT</t>
  </si>
  <si>
    <t>MATH</t>
  </si>
  <si>
    <t>ENGLISH</t>
  </si>
  <si>
    <t>ENGLISH LIT</t>
  </si>
  <si>
    <t>E.MATH</t>
  </si>
  <si>
    <t>C.MATH</t>
  </si>
  <si>
    <t>KISW</t>
  </si>
  <si>
    <t>FASIHI</t>
  </si>
  <si>
    <t>AGR/NUT</t>
  </si>
  <si>
    <t>COMP</t>
  </si>
  <si>
    <t>ICT</t>
  </si>
  <si>
    <t>HIST</t>
  </si>
  <si>
    <t>GEO</t>
  </si>
  <si>
    <t>CHEM</t>
  </si>
  <si>
    <t>BIO</t>
  </si>
  <si>
    <t>CRE</t>
  </si>
  <si>
    <t>HSC</t>
  </si>
  <si>
    <t>KCB</t>
  </si>
  <si>
    <t>EQUITY</t>
  </si>
  <si>
    <t>CO-OPERATIVE</t>
  </si>
  <si>
    <t>NCBA</t>
  </si>
  <si>
    <t>STANBIC</t>
  </si>
  <si>
    <t>ABSA</t>
  </si>
  <si>
    <t>FATHER</t>
  </si>
  <si>
    <t>MOTHER</t>
  </si>
  <si>
    <t>FRIEND</t>
  </si>
  <si>
    <t>SPOUSE</t>
  </si>
  <si>
    <t>SISTER</t>
  </si>
  <si>
    <t>BROTHER</t>
  </si>
  <si>
    <t>OTHER</t>
  </si>
  <si>
    <t>CERTIFICATE</t>
  </si>
  <si>
    <t>DIPLOMA</t>
  </si>
  <si>
    <t>HIGHER DIPLOMA</t>
  </si>
  <si>
    <t>DEGREE</t>
  </si>
  <si>
    <t>MASTERS</t>
  </si>
  <si>
    <t>PHD</t>
  </si>
  <si>
    <t>PRINCIPAL</t>
  </si>
  <si>
    <t>DEPUTY PRINCIPAL</t>
  </si>
  <si>
    <t>SENIOR TEACHER</t>
  </si>
  <si>
    <t>HOD SCIENCES</t>
  </si>
  <si>
    <t>HOD TECHNICALS</t>
  </si>
  <si>
    <t>HOD LANGUAGES</t>
  </si>
  <si>
    <t>HOD HUMANITIES</t>
  </si>
  <si>
    <t>CLASS TEACHER</t>
  </si>
  <si>
    <t>GAMES TEACHER</t>
  </si>
  <si>
    <t>CLEARED</t>
  </si>
  <si>
    <t>WITH BAL</t>
  </si>
  <si>
    <t>John</t>
  </si>
  <si>
    <t>Male</t>
  </si>
  <si>
    <t>Female</t>
  </si>
  <si>
    <t>Grace</t>
  </si>
  <si>
    <t>Mr.John</t>
  </si>
  <si>
    <t>27/09/1996</t>
  </si>
  <si>
    <t>cognitivejohn@gmail.com</t>
  </si>
  <si>
    <t>Molo</t>
  </si>
  <si>
    <t>Joyce</t>
  </si>
  <si>
    <t>Ethan</t>
  </si>
  <si>
    <t>Joyce Wanjiru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</si>
</sst>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8"/>
      <color theme="0"/>
      <name val="Times New Roman"/>
      <family val="1"/>
    </font>
    <font>
      <b/>
      <sz val="36"/>
      <color rgb="FFFFFF00"/>
      <name val="Times New Roman"/>
      <family val="1"/>
    </font>
    <font>
      <b/>
      <sz val="14"/>
      <color theme="0"/>
      <name val="Times New Roman"/>
      <family val="1"/>
    </font>
    <font>
      <b/>
      <sz val="20"/>
      <color theme="0"/>
      <name val="Times New Roman"/>
      <family val="1"/>
    </font>
    <font>
      <sz val="11"/>
      <color theme="1"/>
      <name val="Times New Roman"/>
      <family val="1"/>
    </font>
    <font>
      <b/>
      <sz val="22"/>
      <color theme="0"/>
      <name val="Times New Roman"/>
      <family val="1"/>
    </font>
    <font>
      <sz val="11"/>
      <color theme="0"/>
      <name val="Calibri"/>
      <family val="2"/>
      <scheme val="minor"/>
    </font>
    <font>
      <b/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8"/>
      <color theme="1"/>
      <name val="Times New Roman"/>
      <family val="1"/>
    </font>
    <font>
      <b/>
      <sz val="12"/>
      <color theme="0"/>
      <name val="Times New Roman"/>
      <family val="1"/>
    </font>
    <font>
      <b/>
      <sz val="15"/>
      <color theme="3"/>
      <name val="Calibri"/>
      <family val="2"/>
      <charset val="1"/>
      <scheme val="minor"/>
    </font>
    <font>
      <b/>
      <sz val="12"/>
      <color rgb="FFFFFF00"/>
      <name val="Times New Roman"/>
      <family val="1"/>
    </font>
    <font>
      <sz val="12"/>
      <color theme="0"/>
      <name val="Times New Roman"/>
      <family val="1"/>
    </font>
    <font>
      <b/>
      <sz val="24"/>
      <color theme="0"/>
      <name val="Times New Roman"/>
      <family val="1"/>
    </font>
    <font>
      <b/>
      <sz val="15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b/>
      <u/>
      <sz val="14"/>
      <color theme="10"/>
      <name val="Times New Roman"/>
      <family val="1"/>
    </font>
    <font>
      <b/>
      <sz val="16"/>
      <color theme="1"/>
      <name val="Times New Roman"/>
      <family val="1"/>
    </font>
    <font>
      <b/>
      <sz val="12"/>
      <color theme="3"/>
      <name val="Times New Roman"/>
      <family val="1"/>
    </font>
  </fonts>
  <fills count="2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4" fillId="0" borderId="12" applyNumberFormat="0" applyFill="0" applyAlignment="0" applyProtection="0"/>
    <xf numFmtId="0" fontId="19" fillId="0" borderId="0" applyNumberFormat="0" applyFill="0" applyBorder="0" applyAlignment="0" applyProtection="0"/>
  </cellStyleXfs>
  <cellXfs count="132">
    <xf numFmtId="0" fontId="0" fillId="0" borderId="0" xfId="0"/>
    <xf numFmtId="0" fontId="0" fillId="4" borderId="0" xfId="0" applyFill="1"/>
    <xf numFmtId="0" fontId="0" fillId="4" borderId="0" xfId="0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2" fillId="2" borderId="4" xfId="0" applyFont="1" applyFill="1" applyBorder="1"/>
    <xf numFmtId="0" fontId="2" fillId="2" borderId="0" xfId="0" applyFont="1" applyFill="1" applyBorder="1"/>
    <xf numFmtId="0" fontId="1" fillId="2" borderId="0" xfId="0" applyFont="1" applyFill="1" applyBorder="1"/>
    <xf numFmtId="0" fontId="1" fillId="2" borderId="5" xfId="0" applyFont="1" applyFill="1" applyBorder="1"/>
    <xf numFmtId="0" fontId="1" fillId="2" borderId="4" xfId="0" applyFont="1" applyFill="1" applyBorder="1"/>
    <xf numFmtId="0" fontId="0" fillId="4" borderId="4" xfId="0" applyFill="1" applyBorder="1"/>
    <xf numFmtId="0" fontId="0" fillId="4" borderId="5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5" borderId="0" xfId="0" applyFill="1"/>
    <xf numFmtId="0" fontId="6" fillId="4" borderId="0" xfId="0" applyFont="1" applyFill="1" applyAlignment="1">
      <alignment horizontal="left" vertical="center"/>
    </xf>
    <xf numFmtId="0" fontId="8" fillId="4" borderId="0" xfId="0" applyFont="1" applyFill="1"/>
    <xf numFmtId="0" fontId="1" fillId="2" borderId="9" xfId="0" applyFont="1" applyFill="1" applyBorder="1" applyAlignment="1">
      <alignment horizontal="center" vertical="center"/>
    </xf>
    <xf numFmtId="0" fontId="0" fillId="0" borderId="10" xfId="0" applyBorder="1"/>
    <xf numFmtId="0" fontId="10" fillId="7" borderId="10" xfId="0" applyFont="1" applyFill="1" applyBorder="1" applyAlignment="1">
      <alignment horizontal="left" vertical="center"/>
    </xf>
    <xf numFmtId="0" fontId="9" fillId="3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 vertical="center"/>
    </xf>
    <xf numFmtId="0" fontId="4" fillId="6" borderId="10" xfId="0" applyFont="1" applyFill="1" applyBorder="1" applyAlignment="1">
      <alignment horizontal="center"/>
    </xf>
    <xf numFmtId="0" fontId="13" fillId="16" borderId="10" xfId="0" applyFont="1" applyFill="1" applyBorder="1"/>
    <xf numFmtId="0" fontId="11" fillId="14" borderId="10" xfId="0" applyFont="1" applyFill="1" applyBorder="1" applyAlignment="1">
      <alignment horizontal="center" vertical="center"/>
    </xf>
    <xf numFmtId="0" fontId="11" fillId="13" borderId="10" xfId="0" applyFont="1" applyFill="1" applyBorder="1" applyAlignment="1">
      <alignment horizontal="center" vertical="center"/>
    </xf>
    <xf numFmtId="0" fontId="11" fillId="9" borderId="10" xfId="0" applyFont="1" applyFill="1" applyBorder="1" applyAlignment="1">
      <alignment horizontal="center" vertical="center"/>
    </xf>
    <xf numFmtId="0" fontId="15" fillId="17" borderId="0" xfId="0" applyFont="1" applyFill="1"/>
    <xf numFmtId="0" fontId="11" fillId="18" borderId="10" xfId="0" applyFont="1" applyFill="1" applyBorder="1" applyAlignment="1">
      <alignment horizontal="center"/>
    </xf>
    <xf numFmtId="0" fontId="11" fillId="18" borderId="10" xfId="0" applyFont="1" applyFill="1" applyBorder="1" applyAlignment="1">
      <alignment horizontal="center" vertical="center"/>
    </xf>
    <xf numFmtId="0" fontId="11" fillId="18" borderId="10" xfId="0" applyFont="1" applyFill="1" applyBorder="1" applyAlignment="1">
      <alignment horizontal="left" vertical="center"/>
    </xf>
    <xf numFmtId="0" fontId="0" fillId="0" borderId="10" xfId="0" applyBorder="1" applyAlignment="1">
      <alignment horizontal="center"/>
    </xf>
    <xf numFmtId="0" fontId="13" fillId="17" borderId="0" xfId="0" applyFont="1" applyFill="1" applyAlignment="1">
      <alignment horizontal="center"/>
    </xf>
    <xf numFmtId="0" fontId="16" fillId="17" borderId="0" xfId="0" applyFont="1" applyFill="1" applyAlignment="1">
      <alignment horizontal="center"/>
    </xf>
    <xf numFmtId="0" fontId="11" fillId="5" borderId="10" xfId="0" applyFont="1" applyFill="1" applyBorder="1" applyAlignment="1">
      <alignment horizontal="center"/>
    </xf>
    <xf numFmtId="0" fontId="0" fillId="19" borderId="0" xfId="0" applyFill="1"/>
    <xf numFmtId="0" fontId="0" fillId="20" borderId="0" xfId="0" applyFill="1"/>
    <xf numFmtId="0" fontId="0" fillId="21" borderId="0" xfId="0" applyFill="1"/>
    <xf numFmtId="0" fontId="9" fillId="21" borderId="0" xfId="0" applyFont="1" applyFill="1" applyAlignment="1">
      <alignment horizontal="center"/>
    </xf>
    <xf numFmtId="0" fontId="11" fillId="19" borderId="13" xfId="0" applyFont="1" applyFill="1" applyBorder="1"/>
    <xf numFmtId="0" fontId="11" fillId="21" borderId="13" xfId="0" applyFont="1" applyFill="1" applyBorder="1" applyAlignment="1">
      <alignment horizontal="left"/>
    </xf>
    <xf numFmtId="0" fontId="0" fillId="21" borderId="13" xfId="0" applyFill="1" applyBorder="1"/>
    <xf numFmtId="0" fontId="1" fillId="0" borderId="13" xfId="0" applyFont="1" applyBorder="1" applyAlignment="1">
      <alignment horizontal="center"/>
    </xf>
    <xf numFmtId="0" fontId="1" fillId="0" borderId="10" xfId="0" applyFont="1" applyBorder="1"/>
    <xf numFmtId="0" fontId="11" fillId="0" borderId="10" xfId="0" applyFont="1" applyBorder="1" applyAlignment="1">
      <alignment horizontal="center"/>
    </xf>
    <xf numFmtId="0" fontId="11" fillId="0" borderId="10" xfId="0" applyFont="1" applyBorder="1" applyAlignment="1">
      <alignment horizontal="left"/>
    </xf>
    <xf numFmtId="0" fontId="0" fillId="0" borderId="10" xfId="0" applyBorder="1" applyAlignment="1">
      <alignment vertical="center"/>
    </xf>
    <xf numFmtId="0" fontId="1" fillId="0" borderId="10" xfId="0" applyFont="1" applyBorder="1" applyAlignment="1">
      <alignment vertical="center"/>
    </xf>
    <xf numFmtId="0" fontId="11" fillId="0" borderId="10" xfId="0" applyFont="1" applyBorder="1" applyAlignment="1">
      <alignment horizontal="center" vertical="center"/>
    </xf>
    <xf numFmtId="0" fontId="11" fillId="0" borderId="10" xfId="0" applyFont="1" applyBorder="1" applyAlignment="1">
      <alignment vertical="center"/>
    </xf>
    <xf numFmtId="0" fontId="11" fillId="0" borderId="10" xfId="0" applyFont="1" applyBorder="1" applyAlignment="1">
      <alignment horizontal="left" vertical="center"/>
    </xf>
    <xf numFmtId="0" fontId="11" fillId="4" borderId="10" xfId="0" applyFont="1" applyFill="1" applyBorder="1" applyAlignment="1">
      <alignment vertical="center"/>
    </xf>
    <xf numFmtId="0" fontId="11" fillId="0" borderId="0" xfId="0" applyFont="1"/>
    <xf numFmtId="0" fontId="11" fillId="4" borderId="10" xfId="0" applyFont="1" applyFill="1" applyBorder="1" applyAlignment="1">
      <alignment horizontal="center" vertical="center"/>
    </xf>
    <xf numFmtId="0" fontId="11" fillId="10" borderId="10" xfId="0" applyFont="1" applyFill="1" applyBorder="1" applyAlignment="1">
      <alignment horizontal="center" vertical="center"/>
    </xf>
    <xf numFmtId="0" fontId="0" fillId="21" borderId="10" xfId="0" applyFill="1" applyBorder="1" applyAlignment="1">
      <alignment horizontal="center"/>
    </xf>
    <xf numFmtId="0" fontId="0" fillId="22" borderId="10" xfId="0" applyFill="1" applyBorder="1" applyAlignment="1">
      <alignment horizontal="center"/>
    </xf>
    <xf numFmtId="0" fontId="0" fillId="17" borderId="0" xfId="0" applyFill="1"/>
    <xf numFmtId="0" fontId="6" fillId="7" borderId="10" xfId="0" applyFont="1" applyFill="1" applyBorder="1" applyAlignment="1">
      <alignment horizontal="center"/>
    </xf>
    <xf numFmtId="0" fontId="0" fillId="7" borderId="10" xfId="0" applyFill="1" applyBorder="1"/>
    <xf numFmtId="0" fontId="0" fillId="7" borderId="10" xfId="0" applyFill="1" applyBorder="1" applyAlignment="1">
      <alignment horizontal="center"/>
    </xf>
    <xf numFmtId="0" fontId="15" fillId="17" borderId="10" xfId="0" applyFont="1" applyFill="1" applyBorder="1"/>
    <xf numFmtId="14" fontId="1" fillId="2" borderId="11" xfId="0" applyNumberFormat="1" applyFont="1" applyFill="1" applyBorder="1" applyAlignment="1">
      <alignment horizontal="center" vertical="center"/>
    </xf>
    <xf numFmtId="14" fontId="1" fillId="2" borderId="9" xfId="0" applyNumberFormat="1" applyFont="1" applyFill="1" applyBorder="1" applyAlignment="1">
      <alignment horizontal="center" vertical="center"/>
    </xf>
    <xf numFmtId="14" fontId="11" fillId="18" borderId="10" xfId="0" applyNumberFormat="1" applyFont="1" applyFill="1" applyBorder="1" applyAlignment="1">
      <alignment horizontal="center"/>
    </xf>
    <xf numFmtId="14" fontId="0" fillId="4" borderId="0" xfId="0" applyNumberFormat="1" applyFill="1"/>
    <xf numFmtId="14" fontId="10" fillId="7" borderId="10" xfId="0" applyNumberFormat="1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7" fillId="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center" vertical="center"/>
    </xf>
    <xf numFmtId="0" fontId="11" fillId="14" borderId="0" xfId="0" applyFont="1" applyFill="1" applyAlignment="1">
      <alignment horizontal="center" vertical="center"/>
    </xf>
    <xf numFmtId="0" fontId="11" fillId="13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/>
    </xf>
    <xf numFmtId="0" fontId="11" fillId="12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3" fillId="11" borderId="0" xfId="0" applyFont="1" applyFill="1" applyAlignment="1">
      <alignment horizontal="center"/>
    </xf>
    <xf numFmtId="0" fontId="12" fillId="8" borderId="0" xfId="0" applyFont="1" applyFill="1" applyAlignment="1">
      <alignment horizontal="center"/>
    </xf>
    <xf numFmtId="0" fontId="4" fillId="10" borderId="0" xfId="0" applyFont="1" applyFill="1" applyAlignment="1">
      <alignment horizontal="center"/>
    </xf>
    <xf numFmtId="0" fontId="0" fillId="12" borderId="0" xfId="0" applyFont="1" applyFill="1" applyAlignment="1">
      <alignment horizontal="center"/>
    </xf>
    <xf numFmtId="0" fontId="17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2" fillId="21" borderId="0" xfId="0" applyFont="1" applyFill="1" applyAlignment="1">
      <alignment horizontal="center"/>
    </xf>
    <xf numFmtId="0" fontId="20" fillId="21" borderId="0" xfId="2" applyFont="1" applyFill="1" applyAlignment="1">
      <alignment horizontal="center"/>
    </xf>
    <xf numFmtId="0" fontId="9" fillId="21" borderId="0" xfId="0" applyFont="1" applyFill="1" applyAlignment="1">
      <alignment horizontal="center"/>
    </xf>
    <xf numFmtId="0" fontId="21" fillId="3" borderId="0" xfId="0" applyFont="1" applyFill="1" applyAlignment="1">
      <alignment horizontal="center"/>
    </xf>
    <xf numFmtId="0" fontId="18" fillId="4" borderId="7" xfId="1" applyFont="1" applyFill="1" applyBorder="1" applyAlignment="1">
      <alignment horizontal="center"/>
    </xf>
    <xf numFmtId="14" fontId="18" fillId="4" borderId="7" xfId="1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1" fillId="4" borderId="7" xfId="1" applyFont="1" applyFill="1" applyBorder="1" applyAlignment="1">
      <alignment horizontal="center" vertical="center"/>
    </xf>
    <xf numFmtId="0" fontId="22" fillId="4" borderId="7" xfId="1" applyFont="1" applyFill="1" applyBorder="1" applyAlignment="1">
      <alignment horizontal="center" vertical="center"/>
    </xf>
    <xf numFmtId="0" fontId="11" fillId="21" borderId="14" xfId="0" applyFont="1" applyFill="1" applyBorder="1" applyAlignment="1">
      <alignment horizontal="center"/>
    </xf>
    <xf numFmtId="0" fontId="11" fillId="21" borderId="15" xfId="0" applyFont="1" applyFill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1" fillId="21" borderId="14" xfId="0" applyFont="1" applyFill="1" applyBorder="1" applyAlignment="1">
      <alignment horizontal="center" vertical="center"/>
    </xf>
    <xf numFmtId="0" fontId="11" fillId="21" borderId="16" xfId="0" applyFont="1" applyFill="1" applyBorder="1" applyAlignment="1">
      <alignment horizontal="center" vertical="center"/>
    </xf>
    <xf numFmtId="0" fontId="11" fillId="21" borderId="15" xfId="0" applyFont="1" applyFill="1" applyBorder="1" applyAlignment="1">
      <alignment horizontal="center" vertical="center"/>
    </xf>
    <xf numFmtId="14" fontId="22" fillId="4" borderId="7" xfId="1" applyNumberFormat="1" applyFont="1" applyFill="1" applyBorder="1" applyAlignment="1">
      <alignment horizontal="center" vertical="center"/>
    </xf>
    <xf numFmtId="0" fontId="21" fillId="2" borderId="10" xfId="0" applyFont="1" applyFill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2" borderId="10" xfId="0" applyFont="1" applyFill="1" applyBorder="1" applyAlignment="1">
      <alignment horizontal="center"/>
    </xf>
    <xf numFmtId="0" fontId="21" fillId="3" borderId="10" xfId="0" applyFont="1" applyFill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</cellXfs>
  <cellStyles count="3">
    <cellStyle name="Heading 1" xfId="1" builtinId="16"/>
    <cellStyle name="Hyperlink" xfId="2" builtinId="8"/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FEES PAYMENT RECEIPT'!A1"/><Relationship Id="rId3" Type="http://schemas.openxmlformats.org/officeDocument/2006/relationships/hyperlink" Target="#'TEACHERS DETAILS'!A1"/><Relationship Id="rId7" Type="http://schemas.openxmlformats.org/officeDocument/2006/relationships/hyperlink" Target="#'LEARNERS EMIS DATA'!A1"/><Relationship Id="rId2" Type="http://schemas.openxmlformats.org/officeDocument/2006/relationships/hyperlink" Target="#'LEARNERS DETAILS'!A1"/><Relationship Id="rId1" Type="http://schemas.openxmlformats.org/officeDocument/2006/relationships/hyperlink" Target="#ABOUT!A1"/><Relationship Id="rId6" Type="http://schemas.openxmlformats.org/officeDocument/2006/relationships/hyperlink" Target="#'TEACHERS EMIS DATA'!A1"/><Relationship Id="rId5" Type="http://schemas.openxmlformats.org/officeDocument/2006/relationships/hyperlink" Target="#'ADM RECEIPT'!A1"/><Relationship Id="rId4" Type="http://schemas.openxmlformats.org/officeDocument/2006/relationships/hyperlink" Target="#'FEES PAYMENT TABLE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177801</xdr:colOff>
      <xdr:row>2</xdr:row>
      <xdr:rowOff>22225</xdr:rowOff>
    </xdr:from>
    <xdr:to>
      <xdr:col>9</xdr:col>
      <xdr:colOff>16934</xdr:colOff>
      <xdr:row>3</xdr:row>
      <xdr:rowOff>165100</xdr:rowOff>
    </xdr:to>
    <xdr:sp macro="" textlink="">
      <xdr:nvSpPr>
        <xdr:cNvPr id="2" name="Rounded Rectangle 1"/>
        <xdr:cNvSpPr/>
      </xdr:nvSpPr>
      <xdr:spPr>
        <a:xfrm>
          <a:off x="3553884" y="212725"/>
          <a:ext cx="1066800" cy="4286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  <xdr:twoCellAnchor>
    <xdr:from>
      <xdr:col>9</xdr:col>
      <xdr:colOff>116417</xdr:colOff>
      <xdr:row>2</xdr:row>
      <xdr:rowOff>42334</xdr:rowOff>
    </xdr:from>
    <xdr:to>
      <xdr:col>9</xdr:col>
      <xdr:colOff>1187450</xdr:colOff>
      <xdr:row>3</xdr:row>
      <xdr:rowOff>185209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720167" y="232834"/>
          <a:ext cx="1071033" cy="428625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ABOUT</a:t>
          </a:r>
        </a:p>
      </xdr:txBody>
    </xdr:sp>
    <xdr:clientData/>
  </xdr:twoCellAnchor>
  <xdr:twoCellAnchor>
    <xdr:from>
      <xdr:col>10</xdr:col>
      <xdr:colOff>211667</xdr:colOff>
      <xdr:row>2</xdr:row>
      <xdr:rowOff>50800</xdr:rowOff>
    </xdr:from>
    <xdr:to>
      <xdr:col>12</xdr:col>
      <xdr:colOff>421217</xdr:colOff>
      <xdr:row>4</xdr:row>
      <xdr:rowOff>3175</xdr:rowOff>
    </xdr:to>
    <xdr:sp macro="[0]!Show" textlink="">
      <xdr:nvSpPr>
        <xdr:cNvPr id="4" name="Rounded Rectangle 3"/>
        <xdr:cNvSpPr/>
      </xdr:nvSpPr>
      <xdr:spPr>
        <a:xfrm>
          <a:off x="6053667" y="241300"/>
          <a:ext cx="1437217" cy="4286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SHOW</a:t>
          </a:r>
          <a:r>
            <a:rPr lang="en-US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TOOLS</a:t>
          </a:r>
          <a:endParaRPr lang="en-US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31749</xdr:colOff>
      <xdr:row>2</xdr:row>
      <xdr:rowOff>58209</xdr:rowOff>
    </xdr:from>
    <xdr:to>
      <xdr:col>15</xdr:col>
      <xdr:colOff>234949</xdr:colOff>
      <xdr:row>4</xdr:row>
      <xdr:rowOff>10584</xdr:rowOff>
    </xdr:to>
    <xdr:sp macro="[0]!_xludf.Hide" textlink="">
      <xdr:nvSpPr>
        <xdr:cNvPr id="5" name="Rounded Rectangle 4"/>
        <xdr:cNvSpPr/>
      </xdr:nvSpPr>
      <xdr:spPr>
        <a:xfrm>
          <a:off x="7715249" y="248709"/>
          <a:ext cx="1430867" cy="42862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HIDE</a:t>
          </a:r>
          <a:r>
            <a:rPr lang="en-US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TOOLS</a:t>
          </a:r>
          <a:endParaRPr lang="en-US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201084</xdr:colOff>
      <xdr:row>12</xdr:row>
      <xdr:rowOff>116419</xdr:rowOff>
    </xdr:from>
    <xdr:to>
      <xdr:col>7</xdr:col>
      <xdr:colOff>31750</xdr:colOff>
      <xdr:row>15</xdr:row>
      <xdr:rowOff>63503</xdr:rowOff>
    </xdr:to>
    <xdr:sp macro="[0]!OpenLearners" textlink="">
      <xdr:nvSpPr>
        <xdr:cNvPr id="6" name="Rounded Rectangle 5">
          <a:hlinkClick xmlns:r="http://schemas.openxmlformats.org/officeDocument/2006/relationships" r:id="rId2"/>
        </xdr:cNvPr>
        <xdr:cNvSpPr/>
      </xdr:nvSpPr>
      <xdr:spPr>
        <a:xfrm>
          <a:off x="814917" y="2825752"/>
          <a:ext cx="2592916" cy="518584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ADD/CHECK LEARNERS DETAILS</a:t>
          </a:r>
        </a:p>
      </xdr:txBody>
    </xdr:sp>
    <xdr:clientData/>
  </xdr:twoCellAnchor>
  <xdr:twoCellAnchor>
    <xdr:from>
      <xdr:col>7</xdr:col>
      <xdr:colOff>374651</xdr:colOff>
      <xdr:row>12</xdr:row>
      <xdr:rowOff>120652</xdr:rowOff>
    </xdr:from>
    <xdr:to>
      <xdr:col>10</xdr:col>
      <xdr:colOff>501650</xdr:colOff>
      <xdr:row>15</xdr:row>
      <xdr:rowOff>63503</xdr:rowOff>
    </xdr:to>
    <xdr:sp macro="" textlink="">
      <xdr:nvSpPr>
        <xdr:cNvPr id="7" name="Rounded Rectangle 6">
          <a:hlinkClick xmlns:r="http://schemas.openxmlformats.org/officeDocument/2006/relationships" r:id="rId3"/>
        </xdr:cNvPr>
        <xdr:cNvSpPr/>
      </xdr:nvSpPr>
      <xdr:spPr>
        <a:xfrm>
          <a:off x="3750734" y="2829985"/>
          <a:ext cx="2592916" cy="514351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ADD/CHECK DETAILS OF TEACHERS</a:t>
          </a:r>
        </a:p>
      </xdr:txBody>
    </xdr:sp>
    <xdr:clientData/>
  </xdr:twoCellAnchor>
  <xdr:twoCellAnchor>
    <xdr:from>
      <xdr:col>11</xdr:col>
      <xdr:colOff>262467</xdr:colOff>
      <xdr:row>12</xdr:row>
      <xdr:rowOff>103720</xdr:rowOff>
    </xdr:from>
    <xdr:to>
      <xdr:col>15</xdr:col>
      <xdr:colOff>400049</xdr:colOff>
      <xdr:row>15</xdr:row>
      <xdr:rowOff>42337</xdr:rowOff>
    </xdr:to>
    <xdr:sp macro="" textlink="">
      <xdr:nvSpPr>
        <xdr:cNvPr id="8" name="Rounded Rectangle 7">
          <a:hlinkClick xmlns:r="http://schemas.openxmlformats.org/officeDocument/2006/relationships" r:id="rId4"/>
        </xdr:cNvPr>
        <xdr:cNvSpPr/>
      </xdr:nvSpPr>
      <xdr:spPr>
        <a:xfrm>
          <a:off x="6718300" y="2813053"/>
          <a:ext cx="2592916" cy="510117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ADD/CHECK FEES DETAILS</a:t>
          </a:r>
        </a:p>
      </xdr:txBody>
    </xdr:sp>
    <xdr:clientData/>
  </xdr:twoCellAnchor>
  <xdr:twoCellAnchor>
    <xdr:from>
      <xdr:col>11</xdr:col>
      <xdr:colOff>254000</xdr:colOff>
      <xdr:row>16</xdr:row>
      <xdr:rowOff>148171</xdr:rowOff>
    </xdr:from>
    <xdr:to>
      <xdr:col>15</xdr:col>
      <xdr:colOff>391582</xdr:colOff>
      <xdr:row>19</xdr:row>
      <xdr:rowOff>137588</xdr:rowOff>
    </xdr:to>
    <xdr:sp macro="" textlink="">
      <xdr:nvSpPr>
        <xdr:cNvPr id="9" name="Rounded Rectangle 8">
          <a:hlinkClick xmlns:r="http://schemas.openxmlformats.org/officeDocument/2006/relationships" r:id="rId5"/>
        </xdr:cNvPr>
        <xdr:cNvSpPr/>
      </xdr:nvSpPr>
      <xdr:spPr>
        <a:xfrm>
          <a:off x="6709833" y="3619504"/>
          <a:ext cx="2592916" cy="560917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ISSUE ADMISSION RECEIPT</a:t>
          </a:r>
        </a:p>
      </xdr:txBody>
    </xdr:sp>
    <xdr:clientData/>
  </xdr:twoCellAnchor>
  <xdr:twoCellAnchor>
    <xdr:from>
      <xdr:col>7</xdr:col>
      <xdr:colOff>374649</xdr:colOff>
      <xdr:row>16</xdr:row>
      <xdr:rowOff>173571</xdr:rowOff>
    </xdr:from>
    <xdr:to>
      <xdr:col>10</xdr:col>
      <xdr:colOff>501648</xdr:colOff>
      <xdr:row>19</xdr:row>
      <xdr:rowOff>158754</xdr:rowOff>
    </xdr:to>
    <xdr:sp macro="" textlink="">
      <xdr:nvSpPr>
        <xdr:cNvPr id="10" name="Rounded Rectangle 9">
          <a:hlinkClick xmlns:r="http://schemas.openxmlformats.org/officeDocument/2006/relationships" r:id="rId6"/>
        </xdr:cNvPr>
        <xdr:cNvSpPr/>
      </xdr:nvSpPr>
      <xdr:spPr>
        <a:xfrm>
          <a:off x="3750732" y="3644904"/>
          <a:ext cx="2592916" cy="556683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CHECK TEACHERS EMIS DATA</a:t>
          </a:r>
        </a:p>
      </xdr:txBody>
    </xdr:sp>
    <xdr:clientData/>
  </xdr:twoCellAnchor>
  <xdr:twoCellAnchor>
    <xdr:from>
      <xdr:col>2</xdr:col>
      <xdr:colOff>209550</xdr:colOff>
      <xdr:row>16</xdr:row>
      <xdr:rowOff>188387</xdr:rowOff>
    </xdr:from>
    <xdr:to>
      <xdr:col>7</xdr:col>
      <xdr:colOff>40216</xdr:colOff>
      <xdr:row>19</xdr:row>
      <xdr:rowOff>158754</xdr:rowOff>
    </xdr:to>
    <xdr:sp macro="" textlink="">
      <xdr:nvSpPr>
        <xdr:cNvPr id="11" name="Rounded Rectangle 10">
          <a:hlinkClick xmlns:r="http://schemas.openxmlformats.org/officeDocument/2006/relationships" r:id="rId7"/>
        </xdr:cNvPr>
        <xdr:cNvSpPr/>
      </xdr:nvSpPr>
      <xdr:spPr>
        <a:xfrm>
          <a:off x="823383" y="3659720"/>
          <a:ext cx="2592916" cy="541867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CHECK LEARNERS</a:t>
          </a:r>
          <a:r>
            <a:rPr lang="en-US" sz="12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EMIS DATA</a:t>
          </a:r>
          <a:endParaRPr lang="en-US" sz="12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412751</xdr:colOff>
      <xdr:row>21</xdr:row>
      <xdr:rowOff>74089</xdr:rowOff>
    </xdr:from>
    <xdr:to>
      <xdr:col>10</xdr:col>
      <xdr:colOff>539750</xdr:colOff>
      <xdr:row>24</xdr:row>
      <xdr:rowOff>42339</xdr:rowOff>
    </xdr:to>
    <xdr:sp macro="" textlink="">
      <xdr:nvSpPr>
        <xdr:cNvPr id="12" name="Rounded Rectangle 11">
          <a:hlinkClick xmlns:r="http://schemas.openxmlformats.org/officeDocument/2006/relationships" r:id="rId8"/>
        </xdr:cNvPr>
        <xdr:cNvSpPr/>
      </xdr:nvSpPr>
      <xdr:spPr>
        <a:xfrm>
          <a:off x="3788834" y="4497922"/>
          <a:ext cx="2592916" cy="53975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CONFIRM</a:t>
          </a:r>
          <a:r>
            <a:rPr lang="en-US" sz="12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PAYMENT RECEIPT</a:t>
          </a:r>
          <a:endParaRPr lang="en-US" sz="12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11</xdr:row>
      <xdr:rowOff>19051</xdr:rowOff>
    </xdr:from>
    <xdr:to>
      <xdr:col>15</xdr:col>
      <xdr:colOff>600075</xdr:colOff>
      <xdr:row>25</xdr:row>
      <xdr:rowOff>1</xdr:rowOff>
    </xdr:to>
    <xdr:sp macro="" textlink="">
      <xdr:nvSpPr>
        <xdr:cNvPr id="2" name="TextBox 1"/>
        <xdr:cNvSpPr txBox="1"/>
      </xdr:nvSpPr>
      <xdr:spPr>
        <a:xfrm>
          <a:off x="638175" y="2076451"/>
          <a:ext cx="8496300" cy="2647950"/>
        </a:xfrm>
        <a:prstGeom prst="rect">
          <a:avLst/>
        </a:prstGeom>
        <a:solidFill>
          <a:schemeClr val="lt1"/>
        </a:solidFill>
        <a:ln w="9525" cmpd="sng">
          <a:solidFill>
            <a:srgbClr val="FFC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2</xdr:col>
      <xdr:colOff>257175</xdr:colOff>
      <xdr:row>1</xdr:row>
      <xdr:rowOff>114300</xdr:rowOff>
    </xdr:from>
    <xdr:to>
      <xdr:col>4</xdr:col>
      <xdr:colOff>390525</xdr:colOff>
      <xdr:row>3</xdr:row>
      <xdr:rowOff>85725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866775" y="114300"/>
          <a:ext cx="1352550" cy="352425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chemeClr val="tx2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19050</xdr:colOff>
      <xdr:row>0</xdr:row>
      <xdr:rowOff>352425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0" y="0"/>
          <a:ext cx="1066800" cy="352425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chemeClr val="tx2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  <xdr:twoCellAnchor>
    <xdr:from>
      <xdr:col>1</xdr:col>
      <xdr:colOff>76200</xdr:colOff>
      <xdr:row>0</xdr:row>
      <xdr:rowOff>0</xdr:rowOff>
    </xdr:from>
    <xdr:to>
      <xdr:col>1</xdr:col>
      <xdr:colOff>1428750</xdr:colOff>
      <xdr:row>0</xdr:row>
      <xdr:rowOff>352425</xdr:rowOff>
    </xdr:to>
    <xdr:sp macro="[0]!Uform1" textlink="">
      <xdr:nvSpPr>
        <xdr:cNvPr id="6" name="Rounded Rectangle 5"/>
        <xdr:cNvSpPr/>
      </xdr:nvSpPr>
      <xdr:spPr>
        <a:xfrm>
          <a:off x="1228725" y="0"/>
          <a:ext cx="1352550" cy="352425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chemeClr val="tx2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ADD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1227667</xdr:colOff>
      <xdr:row>0</xdr:row>
      <xdr:rowOff>352425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0" y="0"/>
          <a:ext cx="1227667" cy="352425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chemeClr val="tx2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  <xdr:twoCellAnchor>
    <xdr:from>
      <xdr:col>1</xdr:col>
      <xdr:colOff>52917</xdr:colOff>
      <xdr:row>0</xdr:row>
      <xdr:rowOff>21166</xdr:rowOff>
    </xdr:from>
    <xdr:to>
      <xdr:col>1</xdr:col>
      <xdr:colOff>1405467</xdr:colOff>
      <xdr:row>0</xdr:row>
      <xdr:rowOff>373591</xdr:rowOff>
    </xdr:to>
    <xdr:sp macro="[0]!Uform3" textlink="">
      <xdr:nvSpPr>
        <xdr:cNvPr id="5" name="Rounded Rectangle 4"/>
        <xdr:cNvSpPr/>
      </xdr:nvSpPr>
      <xdr:spPr>
        <a:xfrm>
          <a:off x="1344084" y="21166"/>
          <a:ext cx="1352550" cy="352425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chemeClr val="tx2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ADD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0</xdr:row>
      <xdr:rowOff>85725</xdr:rowOff>
    </xdr:from>
    <xdr:to>
      <xdr:col>10</xdr:col>
      <xdr:colOff>75142</xdr:colOff>
      <xdr:row>1</xdr:row>
      <xdr:rowOff>152400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4943475" y="85725"/>
          <a:ext cx="1227667" cy="352425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chemeClr val="tx2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  <xdr:twoCellAnchor>
    <xdr:from>
      <xdr:col>10</xdr:col>
      <xdr:colOff>304800</xdr:colOff>
      <xdr:row>0</xdr:row>
      <xdr:rowOff>76200</xdr:rowOff>
    </xdr:from>
    <xdr:to>
      <xdr:col>11</xdr:col>
      <xdr:colOff>571500</xdr:colOff>
      <xdr:row>1</xdr:row>
      <xdr:rowOff>142875</xdr:rowOff>
    </xdr:to>
    <xdr:sp macro="" textlink="">
      <xdr:nvSpPr>
        <xdr:cNvPr id="5" name="Rounded Rectangle 4"/>
        <xdr:cNvSpPr/>
      </xdr:nvSpPr>
      <xdr:spPr>
        <a:xfrm>
          <a:off x="6400800" y="76200"/>
          <a:ext cx="1066800" cy="352425"/>
        </a:xfrm>
        <a:prstGeom prst="roundRect">
          <a:avLst/>
        </a:prstGeom>
        <a:solidFill>
          <a:srgbClr val="FF0000"/>
        </a:solidFill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chemeClr val="tx2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ADD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0</xdr:row>
      <xdr:rowOff>28575</xdr:rowOff>
    </xdr:from>
    <xdr:to>
      <xdr:col>9</xdr:col>
      <xdr:colOff>227542</xdr:colOff>
      <xdr:row>1</xdr:row>
      <xdr:rowOff>180975</xdr:rowOff>
    </xdr:to>
    <xdr:sp macro="" textlink="">
      <xdr:nvSpPr>
        <xdr:cNvPr id="6" name="Rounded Rectangle 5">
          <a:hlinkClick xmlns:r="http://schemas.openxmlformats.org/officeDocument/2006/relationships" r:id="rId1"/>
        </xdr:cNvPr>
        <xdr:cNvSpPr/>
      </xdr:nvSpPr>
      <xdr:spPr>
        <a:xfrm>
          <a:off x="11382375" y="28575"/>
          <a:ext cx="1227667" cy="352425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chemeClr val="tx2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  <xdr:twoCellAnchor>
    <xdr:from>
      <xdr:col>9</xdr:col>
      <xdr:colOff>457200</xdr:colOff>
      <xdr:row>0</xdr:row>
      <xdr:rowOff>19050</xdr:rowOff>
    </xdr:from>
    <xdr:to>
      <xdr:col>10</xdr:col>
      <xdr:colOff>552450</xdr:colOff>
      <xdr:row>1</xdr:row>
      <xdr:rowOff>171450</xdr:rowOff>
    </xdr:to>
    <xdr:sp macro="" textlink="">
      <xdr:nvSpPr>
        <xdr:cNvPr id="7" name="Rounded Rectangle 6"/>
        <xdr:cNvSpPr/>
      </xdr:nvSpPr>
      <xdr:spPr>
        <a:xfrm>
          <a:off x="12839700" y="19050"/>
          <a:ext cx="1066800" cy="352425"/>
        </a:xfrm>
        <a:prstGeom prst="roundRect">
          <a:avLst/>
        </a:prstGeom>
        <a:solidFill>
          <a:srgbClr val="FF0000"/>
        </a:solidFill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chemeClr val="tx2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ADD</a:t>
          </a:r>
        </a:p>
      </xdr:txBody>
    </xdr:sp>
    <xdr:clientData/>
  </xdr:twoCellAnchor>
  <xdr:twoCellAnchor>
    <xdr:from>
      <xdr:col>0</xdr:col>
      <xdr:colOff>228600</xdr:colOff>
      <xdr:row>0</xdr:row>
      <xdr:rowOff>95250</xdr:rowOff>
    </xdr:from>
    <xdr:to>
      <xdr:col>1</xdr:col>
      <xdr:colOff>523875</xdr:colOff>
      <xdr:row>0</xdr:row>
      <xdr:rowOff>409575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228600" y="95250"/>
          <a:ext cx="1333500" cy="314325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380999</xdr:colOff>
      <xdr:row>0</xdr:row>
      <xdr:rowOff>84665</xdr:rowOff>
    </xdr:from>
    <xdr:to>
      <xdr:col>1</xdr:col>
      <xdr:colOff>1756833</xdr:colOff>
      <xdr:row>1</xdr:row>
      <xdr:rowOff>296333</xdr:rowOff>
    </xdr:to>
    <xdr:sp macro="" textlink="">
      <xdr:nvSpPr>
        <xdr:cNvPr id="2" name="Flowchart: Alternate Process 1"/>
        <xdr:cNvSpPr/>
      </xdr:nvSpPr>
      <xdr:spPr>
        <a:xfrm>
          <a:off x="380999" y="84665"/>
          <a:ext cx="2190751" cy="402168"/>
        </a:xfrm>
        <a:prstGeom prst="flowChartAlternateProcess">
          <a:avLst/>
        </a:prstGeom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Times New Roman" panose="02020603050405020304" pitchFamily="18" charset="0"/>
              <a:cs typeface="Times New Roman" panose="02020603050405020304" pitchFamily="18" charset="0"/>
            </a:rPr>
            <a:t>CHECK/UPDATE FEES</a:t>
          </a:r>
        </a:p>
      </xdr:txBody>
    </xdr:sp>
    <xdr:clientData/>
  </xdr:twoCellAnchor>
  <xdr:twoCellAnchor>
    <xdr:from>
      <xdr:col>8</xdr:col>
      <xdr:colOff>762001</xdr:colOff>
      <xdr:row>0</xdr:row>
      <xdr:rowOff>84666</xdr:rowOff>
    </xdr:from>
    <xdr:to>
      <xdr:col>10</xdr:col>
      <xdr:colOff>243417</xdr:colOff>
      <xdr:row>1</xdr:row>
      <xdr:rowOff>275166</xdr:rowOff>
    </xdr:to>
    <xdr:sp macro="" textlink="">
      <xdr:nvSpPr>
        <xdr:cNvPr id="4" name="Flowchart: Alternate Process 3">
          <a:hlinkClick xmlns:r="http://schemas.openxmlformats.org/officeDocument/2006/relationships" r:id="rId1"/>
        </xdr:cNvPr>
        <xdr:cNvSpPr/>
      </xdr:nvSpPr>
      <xdr:spPr>
        <a:xfrm>
          <a:off x="11080751" y="84666"/>
          <a:ext cx="2000249" cy="381000"/>
        </a:xfrm>
        <a:prstGeom prst="flowChartAlternateProcess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10583</xdr:colOff>
      <xdr:row>12</xdr:row>
      <xdr:rowOff>10584</xdr:rowOff>
    </xdr:from>
    <xdr:to>
      <xdr:col>11</xdr:col>
      <xdr:colOff>232834</xdr:colOff>
      <xdr:row>13</xdr:row>
      <xdr:rowOff>179917</xdr:rowOff>
    </xdr:to>
    <xdr:sp macro="[0]!Printmacro" textlink="">
      <xdr:nvSpPr>
        <xdr:cNvPr id="2" name="Rounded Rectangle 1"/>
        <xdr:cNvSpPr/>
      </xdr:nvSpPr>
      <xdr:spPr>
        <a:xfrm>
          <a:off x="6127750" y="3132667"/>
          <a:ext cx="1449917" cy="42333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PRINT RECEIPT</a:t>
          </a:r>
        </a:p>
      </xdr:txBody>
    </xdr:sp>
    <xdr:clientData/>
  </xdr:twoCellAnchor>
  <xdr:twoCellAnchor>
    <xdr:from>
      <xdr:col>11</xdr:col>
      <xdr:colOff>529167</xdr:colOff>
      <xdr:row>11</xdr:row>
      <xdr:rowOff>190500</xdr:rowOff>
    </xdr:from>
    <xdr:to>
      <xdr:col>14</xdr:col>
      <xdr:colOff>137584</xdr:colOff>
      <xdr:row>13</xdr:row>
      <xdr:rowOff>158750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7874000" y="3111500"/>
          <a:ext cx="1449917" cy="423333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2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21167</xdr:rowOff>
    </xdr:from>
    <xdr:to>
      <xdr:col>11</xdr:col>
      <xdr:colOff>230717</xdr:colOff>
      <xdr:row>17</xdr:row>
      <xdr:rowOff>34925</xdr:rowOff>
    </xdr:to>
    <xdr:sp macro="[0]!Printmacroo" textlink="">
      <xdr:nvSpPr>
        <xdr:cNvPr id="2" name="Rounded Rectangle 1"/>
        <xdr:cNvSpPr/>
      </xdr:nvSpPr>
      <xdr:spPr>
        <a:xfrm>
          <a:off x="6181725" y="3421592"/>
          <a:ext cx="1449917" cy="42333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PRINT RECEIPT</a:t>
          </a:r>
        </a:p>
      </xdr:txBody>
    </xdr:sp>
    <xdr:clientData/>
  </xdr:twoCellAnchor>
  <xdr:twoCellAnchor>
    <xdr:from>
      <xdr:col>11</xdr:col>
      <xdr:colOff>527050</xdr:colOff>
      <xdr:row>15</xdr:row>
      <xdr:rowOff>0</xdr:rowOff>
    </xdr:from>
    <xdr:to>
      <xdr:col>14</xdr:col>
      <xdr:colOff>148167</xdr:colOff>
      <xdr:row>17</xdr:row>
      <xdr:rowOff>13758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7927975" y="3400425"/>
          <a:ext cx="1449917" cy="423333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2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st.anuarite.njabini@gmail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st.anuarite.njabini@gmail.com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P27"/>
  <sheetViews>
    <sheetView showGridLines="0" showRowColHeaders="0" topLeftCell="B2" zoomScale="90" zoomScaleNormal="90" workbookViewId="0">
      <selection activeCell="C7" sqref="C7:P7"/>
    </sheetView>
  </sheetViews>
  <sheetFormatPr defaultRowHeight="15" x14ac:dyDescent="0.25"/>
  <cols>
    <col min="1" max="1" width="0" hidden="1" customWidth="1"/>
    <col min="2" max="2" width="9.140625" style="1"/>
    <col min="3" max="5" width="9.140625" style="2"/>
    <col min="6" max="6" width="4.5703125" style="2" customWidth="1"/>
    <col min="7" max="9" width="9.140625" style="2"/>
    <col min="10" max="10" width="18.5703125" style="2" customWidth="1"/>
    <col min="11" max="16384" width="9.140625" style="2"/>
  </cols>
  <sheetData>
    <row r="1" spans="1:16" customFormat="1" hidden="1" x14ac:dyDescent="0.25">
      <c r="B1" s="1"/>
    </row>
    <row r="2" spans="1:16" s="1" customFormat="1" x14ac:dyDescent="0.25"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</row>
    <row r="3" spans="1:16" s="1" customFormat="1" ht="22.5" x14ac:dyDescent="0.3">
      <c r="A3"/>
      <c r="C3" s="6" t="s">
        <v>0</v>
      </c>
      <c r="D3" s="7"/>
      <c r="E3" s="7"/>
      <c r="F3" s="8"/>
      <c r="G3" s="8"/>
      <c r="H3" s="8"/>
      <c r="I3" s="8"/>
      <c r="J3" s="8"/>
      <c r="K3" s="8"/>
      <c r="L3" s="8"/>
      <c r="M3" s="8"/>
      <c r="N3" s="8"/>
      <c r="O3" s="8"/>
      <c r="P3" s="9"/>
    </row>
    <row r="4" spans="1:16" s="1" customFormat="1" x14ac:dyDescent="0.25">
      <c r="A4"/>
      <c r="C4" s="10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9"/>
    </row>
    <row r="5" spans="1:16" s="1" customFormat="1" x14ac:dyDescent="0.25">
      <c r="A5"/>
      <c r="C5" s="10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9"/>
    </row>
    <row r="6" spans="1:16" s="1" customFormat="1" x14ac:dyDescent="0.25">
      <c r="A6"/>
      <c r="C6" s="10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9"/>
    </row>
    <row r="7" spans="1:16" s="1" customFormat="1" ht="45" x14ac:dyDescent="0.6">
      <c r="A7"/>
      <c r="C7" s="72" t="s">
        <v>1</v>
      </c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</row>
    <row r="8" spans="1:16" s="1" customFormat="1" x14ac:dyDescent="0.25">
      <c r="A8"/>
      <c r="C8" s="10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9"/>
    </row>
    <row r="9" spans="1:16" s="1" customFormat="1" ht="25.5" x14ac:dyDescent="0.35">
      <c r="A9"/>
      <c r="C9" s="75" t="s">
        <v>2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7"/>
    </row>
    <row r="10" spans="1:16" s="1" customFormat="1" x14ac:dyDescent="0.25">
      <c r="A10"/>
      <c r="C10" s="10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9"/>
    </row>
    <row r="11" spans="1:16" s="1" customFormat="1" x14ac:dyDescent="0.25">
      <c r="A11"/>
      <c r="C11" s="10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9"/>
    </row>
    <row r="12" spans="1:16" s="1" customFormat="1" x14ac:dyDescent="0.25">
      <c r="C12" s="11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12"/>
    </row>
    <row r="13" spans="1:16" s="1" customFormat="1" x14ac:dyDescent="0.25">
      <c r="A13"/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5"/>
    </row>
    <row r="14" spans="1:16" s="1" customFormat="1" x14ac:dyDescent="0.25">
      <c r="A14"/>
      <c r="C14" s="13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5"/>
    </row>
    <row r="15" spans="1:16" s="1" customFormat="1" x14ac:dyDescent="0.25">
      <c r="A15"/>
      <c r="C15" s="13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5"/>
    </row>
    <row r="16" spans="1:16" s="1" customFormat="1" x14ac:dyDescent="0.25">
      <c r="A16"/>
      <c r="C16" s="13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5"/>
    </row>
    <row r="17" spans="1:16" s="1" customFormat="1" x14ac:dyDescent="0.25">
      <c r="A17"/>
      <c r="C17" s="13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5"/>
    </row>
    <row r="18" spans="1:16" s="1" customFormat="1" x14ac:dyDescent="0.25">
      <c r="A18"/>
      <c r="C18" s="13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5"/>
    </row>
    <row r="19" spans="1:16" s="1" customFormat="1" x14ac:dyDescent="0.25">
      <c r="A19"/>
      <c r="C19" s="13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5"/>
    </row>
    <row r="20" spans="1:16" s="1" customFormat="1" x14ac:dyDescent="0.25">
      <c r="A20"/>
      <c r="C20" s="13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5"/>
    </row>
    <row r="21" spans="1:16" s="1" customFormat="1" x14ac:dyDescent="0.25">
      <c r="A21"/>
      <c r="C21" s="13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5"/>
    </row>
    <row r="22" spans="1:16" s="1" customFormat="1" x14ac:dyDescent="0.25">
      <c r="A22"/>
      <c r="C22" s="13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5"/>
    </row>
    <row r="23" spans="1:16" s="1" customFormat="1" x14ac:dyDescent="0.25">
      <c r="A23"/>
      <c r="C23" s="13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5"/>
    </row>
    <row r="24" spans="1:16" s="1" customFormat="1" x14ac:dyDescent="0.25">
      <c r="A24"/>
      <c r="C24" s="13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5"/>
    </row>
    <row r="25" spans="1:16" s="1" customFormat="1" x14ac:dyDescent="0.25">
      <c r="A25"/>
      <c r="C25" s="13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5"/>
    </row>
    <row r="26" spans="1:16" s="1" customFormat="1" x14ac:dyDescent="0.25">
      <c r="A26"/>
      <c r="C26" s="13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5"/>
    </row>
    <row r="27" spans="1:16" s="1" customFormat="1" ht="15.75" thickBot="1" x14ac:dyDescent="0.3">
      <c r="A27"/>
      <c r="C27" s="16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8"/>
    </row>
  </sheetData>
  <sheetProtection password="CC3D" sheet="1" objects="1" scenarios="1"/>
  <mergeCells count="2">
    <mergeCell ref="C7:P7"/>
    <mergeCell ref="C9:P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14999847407452621"/>
  </sheetPr>
  <dimension ref="A1:P27"/>
  <sheetViews>
    <sheetView topLeftCell="B2" workbookViewId="0"/>
  </sheetViews>
  <sheetFormatPr defaultRowHeight="15" x14ac:dyDescent="0.25"/>
  <cols>
    <col min="1" max="1" width="0" style="1" hidden="1" customWidth="1"/>
    <col min="2" max="2" width="9.140625" style="21"/>
    <col min="3" max="16384" width="9.140625" style="1"/>
  </cols>
  <sheetData>
    <row r="1" spans="1:16" customFormat="1" hidden="1" x14ac:dyDescent="0.25">
      <c r="B1" s="21"/>
    </row>
    <row r="2" spans="1:16" x14ac:dyDescent="0.25">
      <c r="A2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</row>
    <row r="3" spans="1:16" x14ac:dyDescent="0.25">
      <c r="A3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</row>
    <row r="4" spans="1:16" x14ac:dyDescent="0.25">
      <c r="A4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</row>
    <row r="5" spans="1:16" x14ac:dyDescent="0.25">
      <c r="A5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</row>
    <row r="6" spans="1:16" ht="27" x14ac:dyDescent="0.25">
      <c r="A6"/>
      <c r="C6" s="78" t="s">
        <v>3</v>
      </c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</row>
    <row r="7" spans="1:16" x14ac:dyDescent="0.25">
      <c r="A7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</row>
    <row r="8" spans="1:16" x14ac:dyDescent="0.25">
      <c r="A8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</row>
    <row r="9" spans="1:16" x14ac:dyDescent="0.25">
      <c r="A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</row>
    <row r="10" spans="1:16" x14ac:dyDescent="0.25">
      <c r="A10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</row>
    <row r="11" spans="1:16" x14ac:dyDescent="0.25">
      <c r="A11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</row>
    <row r="12" spans="1:16" x14ac:dyDescent="0.25">
      <c r="A12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</row>
    <row r="13" spans="1:16" x14ac:dyDescent="0.25">
      <c r="A13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6" x14ac:dyDescent="0.25">
      <c r="A14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6" x14ac:dyDescent="0.25">
      <c r="A15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6" x14ac:dyDescent="0.25">
      <c r="A16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25">
      <c r="A17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25">
      <c r="A18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25">
      <c r="A19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25">
      <c r="A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5">
      <c r="A21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25">
      <c r="A22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25">
      <c r="A23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5">
      <c r="A24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25">
      <c r="A25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</sheetData>
  <sheetProtection password="CC3D" sheet="1" objects="1" scenarios="1"/>
  <mergeCells count="1">
    <mergeCell ref="C6:P6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BL224"/>
  <sheetViews>
    <sheetView zoomScale="90" zoomScaleNormal="90" workbookViewId="0"/>
  </sheetViews>
  <sheetFormatPr defaultRowHeight="15" x14ac:dyDescent="0.25"/>
  <cols>
    <col min="1" max="1" width="17.28515625" style="1" customWidth="1"/>
    <col min="2" max="2" width="41.140625" style="1" customWidth="1"/>
    <col min="3" max="3" width="10.140625" style="1" customWidth="1"/>
    <col min="4" max="4" width="12.85546875" style="1" customWidth="1"/>
    <col min="5" max="5" width="17.7109375" style="1" customWidth="1"/>
    <col min="6" max="6" width="19.28515625" style="1" customWidth="1"/>
    <col min="7" max="7" width="15.28515625" style="1" customWidth="1"/>
    <col min="8" max="8" width="31.42578125" style="1" customWidth="1"/>
    <col min="9" max="9" width="16.28515625" style="1" customWidth="1"/>
    <col min="10" max="10" width="16" style="1" customWidth="1"/>
    <col min="11" max="13" width="9.140625" style="1"/>
    <col min="14" max="14" width="11.85546875" style="1" customWidth="1"/>
    <col min="15" max="15" width="11" style="1" customWidth="1"/>
    <col min="16" max="16" width="11.42578125" style="1" customWidth="1"/>
    <col min="17" max="17" width="9.140625" style="1"/>
    <col min="18" max="18" width="11.85546875" style="1" customWidth="1"/>
    <col min="19" max="19" width="11" style="1" customWidth="1"/>
    <col min="20" max="20" width="11.42578125" style="1" customWidth="1"/>
    <col min="21" max="21" width="9.140625" style="1"/>
    <col min="22" max="22" width="11.85546875" style="1" customWidth="1"/>
    <col min="23" max="23" width="11" style="1" customWidth="1"/>
    <col min="24" max="24" width="11.42578125" style="1" customWidth="1"/>
    <col min="25" max="25" width="9.140625" style="1"/>
    <col min="26" max="26" width="11.85546875" style="1" customWidth="1"/>
    <col min="27" max="27" width="11" style="1" customWidth="1"/>
    <col min="28" max="28" width="11.42578125" style="1" customWidth="1"/>
    <col min="29" max="29" width="9.140625" style="1"/>
    <col min="30" max="30" width="11.85546875" style="1" customWidth="1"/>
    <col min="31" max="31" width="11" style="1" customWidth="1"/>
    <col min="32" max="32" width="11.42578125" style="1" customWidth="1"/>
    <col min="33" max="33" width="9.140625" style="1"/>
    <col min="34" max="34" width="11.85546875" style="1" customWidth="1"/>
    <col min="35" max="35" width="11" style="1" customWidth="1"/>
    <col min="36" max="36" width="11.42578125" style="1" customWidth="1"/>
    <col min="37" max="37" width="9.140625" style="1"/>
    <col min="38" max="38" width="11.85546875" style="1" customWidth="1"/>
    <col min="39" max="39" width="11" style="1" customWidth="1"/>
    <col min="40" max="40" width="11.42578125" style="1" customWidth="1"/>
    <col min="41" max="41" width="9.140625" style="1"/>
    <col min="42" max="42" width="11.85546875" style="1" customWidth="1"/>
    <col min="43" max="43" width="11" style="1" customWidth="1"/>
    <col min="44" max="44" width="11.42578125" style="1" customWidth="1"/>
    <col min="45" max="45" width="9.140625" style="1"/>
    <col min="46" max="46" width="11.85546875" style="1" customWidth="1"/>
    <col min="47" max="47" width="11" style="1" customWidth="1"/>
    <col min="48" max="48" width="11.42578125" style="1" customWidth="1"/>
    <col min="49" max="49" width="9.140625" style="1"/>
    <col min="50" max="50" width="11.85546875" style="1" customWidth="1"/>
    <col min="51" max="51" width="11" style="1" customWidth="1"/>
    <col min="52" max="52" width="11.42578125" style="1" customWidth="1"/>
    <col min="53" max="53" width="9.140625" style="1"/>
    <col min="54" max="54" width="11.85546875" style="1" customWidth="1"/>
    <col min="55" max="55" width="11" style="1" customWidth="1"/>
    <col min="56" max="56" width="11.42578125" style="1" customWidth="1"/>
    <col min="57" max="57" width="9.140625" style="1"/>
    <col min="58" max="58" width="11.85546875" style="1" customWidth="1"/>
    <col min="59" max="59" width="11" style="1" customWidth="1"/>
    <col min="60" max="60" width="11.42578125" style="1" customWidth="1"/>
    <col min="61" max="61" width="9.140625" style="1"/>
    <col min="62" max="62" width="16.7109375" style="1" customWidth="1"/>
    <col min="63" max="64" width="19.7109375" style="1" customWidth="1"/>
    <col min="65" max="16384" width="9.140625" style="1"/>
  </cols>
  <sheetData>
    <row r="1" spans="1:10" ht="55.5" customHeight="1" x14ac:dyDescent="0.3">
      <c r="A1" s="27" t="s">
        <v>4</v>
      </c>
      <c r="B1" s="27" t="s">
        <v>5</v>
      </c>
      <c r="C1" s="27" t="s">
        <v>6</v>
      </c>
      <c r="D1" s="27" t="s">
        <v>51</v>
      </c>
      <c r="E1" s="27" t="s">
        <v>7</v>
      </c>
      <c r="F1" s="27" t="s">
        <v>8</v>
      </c>
      <c r="G1" s="27" t="s">
        <v>9</v>
      </c>
      <c r="H1" s="27" t="s">
        <v>10</v>
      </c>
      <c r="I1" s="27" t="s">
        <v>11</v>
      </c>
      <c r="J1" s="27" t="s">
        <v>12</v>
      </c>
    </row>
    <row r="2" spans="1:10" x14ac:dyDescent="0.25">
      <c r="A2" s="26">
        <v>1</v>
      </c>
      <c r="B2" s="26" t="s">
        <v>137</v>
      </c>
      <c r="C2" s="26" t="s">
        <v>87</v>
      </c>
      <c r="D2" s="26" t="s">
        <v>136</v>
      </c>
      <c r="E2" s="67">
        <v>35584</v>
      </c>
      <c r="F2" s="67">
        <v>45691</v>
      </c>
      <c r="G2" s="26">
        <v>50000</v>
      </c>
      <c r="H2" s="26" t="s">
        <v>134</v>
      </c>
      <c r="I2" s="26">
        <v>772</v>
      </c>
      <c r="J2" s="26">
        <v>114974368</v>
      </c>
    </row>
    <row r="3" spans="1:10" x14ac:dyDescent="0.25">
      <c r="A3" s="26">
        <v>2</v>
      </c>
      <c r="B3" s="22" t="s">
        <v>143</v>
      </c>
      <c r="C3" s="22" t="s">
        <v>37</v>
      </c>
      <c r="D3" s="22" t="s">
        <v>135</v>
      </c>
      <c r="E3" s="68">
        <v>44480</v>
      </c>
      <c r="F3" s="68">
        <v>45608</v>
      </c>
      <c r="G3" s="22">
        <v>10000</v>
      </c>
      <c r="H3" s="22" t="s">
        <v>144</v>
      </c>
      <c r="I3" s="22">
        <v>7725</v>
      </c>
      <c r="J3" s="22">
        <v>794884265</v>
      </c>
    </row>
    <row r="4" spans="1:10" x14ac:dyDescent="0.25">
      <c r="A4" s="26">
        <v>3</v>
      </c>
      <c r="B4" s="22"/>
      <c r="C4" s="22"/>
      <c r="D4" s="22"/>
      <c r="E4" s="22"/>
      <c r="F4" s="22"/>
      <c r="G4" s="22"/>
      <c r="H4" s="22"/>
      <c r="I4" s="22"/>
      <c r="J4" s="22"/>
    </row>
    <row r="5" spans="1:10" x14ac:dyDescent="0.25">
      <c r="A5" s="26">
        <v>4</v>
      </c>
      <c r="B5" s="22"/>
      <c r="C5" s="22"/>
      <c r="D5" s="22"/>
      <c r="E5" s="22"/>
      <c r="F5" s="22"/>
      <c r="G5" s="22"/>
      <c r="H5" s="22"/>
      <c r="I5" s="22"/>
      <c r="J5" s="22"/>
    </row>
    <row r="6" spans="1:10" x14ac:dyDescent="0.25">
      <c r="A6" s="26">
        <v>5</v>
      </c>
      <c r="B6" s="22"/>
      <c r="C6" s="22"/>
      <c r="D6" s="22"/>
      <c r="E6" s="22"/>
      <c r="F6" s="22"/>
      <c r="G6" s="22"/>
      <c r="H6" s="22"/>
      <c r="I6" s="22"/>
      <c r="J6" s="22"/>
    </row>
    <row r="7" spans="1:10" x14ac:dyDescent="0.25">
      <c r="A7" s="26">
        <v>6</v>
      </c>
      <c r="B7" s="22"/>
      <c r="C7" s="22"/>
      <c r="D7" s="22"/>
      <c r="E7" s="22"/>
      <c r="F7" s="22"/>
      <c r="G7" s="22"/>
      <c r="H7" s="22"/>
      <c r="I7" s="22"/>
      <c r="J7" s="22"/>
    </row>
    <row r="8" spans="1:10" x14ac:dyDescent="0.25">
      <c r="A8" s="26">
        <v>7</v>
      </c>
      <c r="B8" s="22"/>
      <c r="C8" s="22"/>
      <c r="D8" s="22"/>
      <c r="E8" s="22"/>
      <c r="F8" s="22"/>
      <c r="G8" s="22"/>
      <c r="H8" s="22"/>
      <c r="I8" s="22"/>
      <c r="J8" s="22"/>
    </row>
    <row r="9" spans="1:10" x14ac:dyDescent="0.25">
      <c r="A9" s="26">
        <v>8</v>
      </c>
      <c r="B9" s="22"/>
      <c r="C9" s="22"/>
      <c r="D9" s="22"/>
      <c r="E9" s="22"/>
      <c r="F9" s="22"/>
      <c r="G9" s="22"/>
      <c r="H9" s="22"/>
      <c r="I9" s="22"/>
      <c r="J9" s="22"/>
    </row>
    <row r="10" spans="1:10" x14ac:dyDescent="0.25">
      <c r="A10" s="26">
        <v>9</v>
      </c>
      <c r="B10" s="22"/>
      <c r="C10" s="22"/>
      <c r="D10" s="22"/>
      <c r="E10" s="22"/>
      <c r="F10" s="22"/>
      <c r="G10" s="22"/>
      <c r="H10" s="22"/>
      <c r="I10" s="22"/>
      <c r="J10" s="22"/>
    </row>
    <row r="11" spans="1:10" x14ac:dyDescent="0.25">
      <c r="A11" s="26">
        <v>10</v>
      </c>
      <c r="B11" s="22"/>
      <c r="C11" s="22"/>
      <c r="D11" s="22"/>
      <c r="E11" s="22"/>
      <c r="F11" s="22"/>
      <c r="G11" s="22"/>
      <c r="H11" s="22"/>
      <c r="I11" s="22"/>
      <c r="J11" s="22"/>
    </row>
    <row r="12" spans="1:10" x14ac:dyDescent="0.25">
      <c r="A12" s="26">
        <v>11</v>
      </c>
      <c r="B12" s="22"/>
      <c r="C12" s="22"/>
      <c r="D12" s="22"/>
      <c r="E12" s="22"/>
      <c r="F12" s="22"/>
      <c r="G12" s="22"/>
      <c r="H12" s="22"/>
      <c r="I12" s="22"/>
      <c r="J12" s="22"/>
    </row>
    <row r="13" spans="1:10" x14ac:dyDescent="0.25">
      <c r="A13" s="26">
        <v>12</v>
      </c>
      <c r="B13" s="22"/>
      <c r="C13" s="22"/>
      <c r="D13" s="22"/>
      <c r="E13" s="22"/>
      <c r="F13" s="22"/>
      <c r="G13" s="22"/>
      <c r="H13" s="22"/>
      <c r="I13" s="22"/>
      <c r="J13" s="22"/>
    </row>
    <row r="14" spans="1:10" x14ac:dyDescent="0.25">
      <c r="A14" s="26">
        <v>13</v>
      </c>
      <c r="B14" s="22"/>
      <c r="C14" s="22"/>
      <c r="D14" s="22"/>
      <c r="E14" s="22"/>
      <c r="F14" s="22"/>
      <c r="G14" s="22"/>
      <c r="H14" s="22"/>
      <c r="I14" s="22"/>
      <c r="J14" s="22"/>
    </row>
    <row r="15" spans="1:10" x14ac:dyDescent="0.25">
      <c r="A15" s="26">
        <v>14</v>
      </c>
      <c r="B15" s="22"/>
      <c r="C15" s="22"/>
      <c r="D15" s="22"/>
      <c r="E15" s="22"/>
      <c r="F15" s="22"/>
      <c r="G15" s="22"/>
      <c r="H15" s="22"/>
      <c r="I15" s="22"/>
      <c r="J15" s="22"/>
    </row>
    <row r="16" spans="1:10" x14ac:dyDescent="0.25">
      <c r="A16" s="26">
        <v>15</v>
      </c>
      <c r="B16" s="22"/>
      <c r="C16" s="22"/>
      <c r="D16" s="22"/>
      <c r="E16" s="22"/>
      <c r="F16" s="22"/>
      <c r="G16" s="22"/>
      <c r="H16" s="22"/>
      <c r="I16" s="22"/>
      <c r="J16" s="22"/>
    </row>
    <row r="17" spans="1:10" x14ac:dyDescent="0.25">
      <c r="A17" s="26">
        <v>16</v>
      </c>
      <c r="B17" s="22"/>
      <c r="C17" s="22"/>
      <c r="D17" s="22"/>
      <c r="E17" s="22"/>
      <c r="F17" s="22"/>
      <c r="G17" s="22"/>
      <c r="H17" s="22"/>
      <c r="I17" s="22"/>
      <c r="J17" s="22"/>
    </row>
    <row r="18" spans="1:10" x14ac:dyDescent="0.25">
      <c r="A18" s="26">
        <v>17</v>
      </c>
      <c r="B18" s="22"/>
      <c r="C18" s="22"/>
      <c r="D18" s="22"/>
      <c r="E18" s="22"/>
      <c r="F18" s="22"/>
      <c r="G18" s="22"/>
      <c r="H18" s="22"/>
      <c r="I18" s="22"/>
      <c r="J18" s="22"/>
    </row>
    <row r="19" spans="1:10" x14ac:dyDescent="0.25">
      <c r="A19" s="26">
        <v>18</v>
      </c>
      <c r="B19" s="22"/>
      <c r="C19" s="22"/>
      <c r="D19" s="22"/>
      <c r="E19" s="22"/>
      <c r="F19" s="22"/>
      <c r="G19" s="22"/>
      <c r="H19" s="22"/>
      <c r="I19" s="22"/>
      <c r="J19" s="22"/>
    </row>
    <row r="20" spans="1:10" x14ac:dyDescent="0.25">
      <c r="A20" s="26">
        <v>19</v>
      </c>
      <c r="B20" s="22"/>
      <c r="C20" s="22"/>
      <c r="D20" s="22"/>
      <c r="E20" s="22"/>
      <c r="F20" s="22"/>
      <c r="G20" s="22"/>
      <c r="H20" s="22"/>
      <c r="I20" s="22"/>
      <c r="J20" s="22"/>
    </row>
    <row r="21" spans="1:10" x14ac:dyDescent="0.25">
      <c r="A21" s="26">
        <v>20</v>
      </c>
      <c r="B21" s="22"/>
      <c r="C21" s="22"/>
      <c r="D21" s="22"/>
      <c r="E21" s="22"/>
      <c r="F21" s="22"/>
      <c r="G21" s="22"/>
      <c r="H21" s="22"/>
      <c r="I21" s="22"/>
      <c r="J21" s="22"/>
    </row>
    <row r="22" spans="1:10" x14ac:dyDescent="0.25">
      <c r="A22" s="26">
        <v>21</v>
      </c>
      <c r="B22" s="22"/>
      <c r="C22" s="22"/>
      <c r="D22" s="22"/>
      <c r="E22" s="22"/>
      <c r="F22" s="22"/>
      <c r="G22" s="22"/>
      <c r="H22" s="22"/>
      <c r="I22" s="22"/>
      <c r="J22" s="22"/>
    </row>
    <row r="23" spans="1:10" x14ac:dyDescent="0.25">
      <c r="A23" s="26">
        <v>22</v>
      </c>
      <c r="B23" s="22"/>
      <c r="C23" s="22"/>
      <c r="D23" s="22"/>
      <c r="E23" s="22"/>
      <c r="F23" s="22"/>
      <c r="G23" s="22"/>
      <c r="H23" s="22"/>
      <c r="I23" s="22"/>
      <c r="J23" s="22"/>
    </row>
    <row r="24" spans="1:10" x14ac:dyDescent="0.25">
      <c r="A24" s="26">
        <v>23</v>
      </c>
      <c r="B24" s="22"/>
      <c r="C24" s="22"/>
      <c r="D24" s="22"/>
      <c r="E24" s="22"/>
      <c r="F24" s="22"/>
      <c r="G24" s="22"/>
      <c r="H24" s="22"/>
      <c r="I24" s="22"/>
      <c r="J24" s="22"/>
    </row>
    <row r="25" spans="1:10" x14ac:dyDescent="0.25">
      <c r="A25" s="26">
        <v>24</v>
      </c>
      <c r="B25" s="22"/>
      <c r="C25" s="22"/>
      <c r="D25" s="22"/>
      <c r="E25" s="22"/>
      <c r="F25" s="22"/>
      <c r="G25" s="22"/>
      <c r="H25" s="22"/>
      <c r="I25" s="22"/>
      <c r="J25" s="22"/>
    </row>
    <row r="26" spans="1:10" x14ac:dyDescent="0.25">
      <c r="A26" s="26">
        <v>25</v>
      </c>
      <c r="B26" s="22"/>
      <c r="C26" s="22"/>
      <c r="D26" s="22"/>
      <c r="E26" s="22"/>
      <c r="F26" s="22"/>
      <c r="G26" s="22"/>
      <c r="H26" s="22"/>
      <c r="I26" s="22"/>
      <c r="J26" s="22"/>
    </row>
    <row r="27" spans="1:10" x14ac:dyDescent="0.25">
      <c r="A27" s="26">
        <v>26</v>
      </c>
      <c r="B27" s="22"/>
      <c r="C27" s="22"/>
      <c r="D27" s="22"/>
      <c r="E27" s="22"/>
      <c r="F27" s="22"/>
      <c r="G27" s="22"/>
      <c r="H27" s="22"/>
      <c r="I27" s="22"/>
      <c r="J27" s="22"/>
    </row>
    <row r="28" spans="1:10" x14ac:dyDescent="0.25">
      <c r="A28" s="26">
        <v>27</v>
      </c>
      <c r="B28" s="22"/>
      <c r="C28" s="22"/>
      <c r="D28" s="22"/>
      <c r="E28" s="22"/>
      <c r="F28" s="22"/>
      <c r="G28" s="22"/>
      <c r="H28" s="22"/>
      <c r="I28" s="22"/>
      <c r="J28" s="22"/>
    </row>
    <row r="29" spans="1:10" x14ac:dyDescent="0.25">
      <c r="A29" s="26">
        <v>28</v>
      </c>
      <c r="B29" s="22"/>
      <c r="C29" s="22"/>
      <c r="D29" s="22"/>
      <c r="E29" s="22"/>
      <c r="F29" s="22"/>
      <c r="G29" s="22"/>
      <c r="H29" s="22"/>
      <c r="I29" s="22"/>
      <c r="J29" s="22"/>
    </row>
    <row r="30" spans="1:10" x14ac:dyDescent="0.25">
      <c r="A30" s="26">
        <v>29</v>
      </c>
      <c r="B30" s="22"/>
      <c r="C30" s="22"/>
      <c r="D30" s="22"/>
      <c r="E30" s="22"/>
      <c r="F30" s="22"/>
      <c r="G30" s="22"/>
      <c r="H30" s="22"/>
      <c r="I30" s="22"/>
      <c r="J30" s="22"/>
    </row>
    <row r="31" spans="1:10" x14ac:dyDescent="0.25">
      <c r="A31" s="26">
        <v>30</v>
      </c>
      <c r="B31" s="22"/>
      <c r="C31" s="22"/>
      <c r="D31" s="22"/>
      <c r="E31" s="22"/>
      <c r="F31" s="22"/>
      <c r="G31" s="22"/>
      <c r="H31" s="22"/>
      <c r="I31" s="22"/>
      <c r="J31" s="22"/>
    </row>
    <row r="32" spans="1:10" x14ac:dyDescent="0.25">
      <c r="A32" s="26">
        <v>31</v>
      </c>
      <c r="B32" s="22"/>
      <c r="C32" s="22"/>
      <c r="D32" s="22"/>
      <c r="E32" s="22"/>
      <c r="F32" s="22"/>
      <c r="G32" s="22"/>
      <c r="H32" s="22"/>
      <c r="I32" s="22"/>
      <c r="J32" s="22"/>
    </row>
    <row r="33" spans="1:10" x14ac:dyDescent="0.25">
      <c r="A33" s="26">
        <v>32</v>
      </c>
      <c r="B33" s="22"/>
      <c r="C33" s="22"/>
      <c r="D33" s="22"/>
      <c r="E33" s="22"/>
      <c r="F33" s="22"/>
      <c r="G33" s="22"/>
      <c r="H33" s="22"/>
      <c r="I33" s="22"/>
      <c r="J33" s="22"/>
    </row>
    <row r="34" spans="1:10" x14ac:dyDescent="0.25">
      <c r="A34" s="26">
        <v>33</v>
      </c>
      <c r="B34" s="22"/>
      <c r="C34" s="22"/>
      <c r="D34" s="22"/>
      <c r="E34" s="22"/>
      <c r="F34" s="22"/>
      <c r="G34" s="22"/>
      <c r="H34" s="22"/>
      <c r="I34" s="22"/>
      <c r="J34" s="22"/>
    </row>
    <row r="35" spans="1:10" x14ac:dyDescent="0.25">
      <c r="A35" s="26">
        <v>34</v>
      </c>
      <c r="B35" s="22"/>
      <c r="C35" s="22"/>
      <c r="D35" s="22"/>
      <c r="E35" s="22"/>
      <c r="F35" s="22"/>
      <c r="G35" s="22"/>
      <c r="H35" s="22"/>
      <c r="I35" s="22"/>
      <c r="J35" s="22"/>
    </row>
    <row r="36" spans="1:10" x14ac:dyDescent="0.25">
      <c r="A36" s="26">
        <v>35</v>
      </c>
      <c r="B36" s="22"/>
      <c r="C36" s="22"/>
      <c r="D36" s="22"/>
      <c r="E36" s="22"/>
      <c r="F36" s="22"/>
      <c r="G36" s="22"/>
      <c r="H36" s="22"/>
      <c r="I36" s="22"/>
      <c r="J36" s="22"/>
    </row>
    <row r="37" spans="1:10" x14ac:dyDescent="0.25">
      <c r="A37" s="26">
        <v>36</v>
      </c>
      <c r="B37" s="22"/>
      <c r="C37" s="22"/>
      <c r="D37" s="22"/>
      <c r="E37" s="22"/>
      <c r="F37" s="22"/>
      <c r="G37" s="22"/>
      <c r="H37" s="22"/>
      <c r="I37" s="22"/>
      <c r="J37" s="22"/>
    </row>
    <row r="38" spans="1:10" x14ac:dyDescent="0.25">
      <c r="A38" s="26">
        <v>37</v>
      </c>
      <c r="B38" s="22"/>
      <c r="C38" s="22"/>
      <c r="D38" s="22"/>
      <c r="E38" s="22"/>
      <c r="F38" s="22"/>
      <c r="G38" s="22"/>
      <c r="H38" s="22"/>
      <c r="I38" s="22"/>
      <c r="J38" s="22"/>
    </row>
    <row r="39" spans="1:10" x14ac:dyDescent="0.25">
      <c r="A39" s="26">
        <v>38</v>
      </c>
      <c r="B39" s="22"/>
      <c r="C39" s="22"/>
      <c r="D39" s="22"/>
      <c r="E39" s="22"/>
      <c r="F39" s="22"/>
      <c r="G39" s="22"/>
      <c r="H39" s="22"/>
      <c r="I39" s="22"/>
      <c r="J39" s="22"/>
    </row>
    <row r="40" spans="1:10" x14ac:dyDescent="0.25">
      <c r="A40" s="26">
        <v>39</v>
      </c>
      <c r="B40" s="22"/>
      <c r="C40" s="22"/>
      <c r="D40" s="22"/>
      <c r="E40" s="22"/>
      <c r="F40" s="22"/>
      <c r="G40" s="22"/>
      <c r="H40" s="22"/>
      <c r="I40" s="22"/>
      <c r="J40" s="22"/>
    </row>
    <row r="41" spans="1:10" x14ac:dyDescent="0.25">
      <c r="A41" s="26">
        <v>40</v>
      </c>
      <c r="B41" s="22"/>
      <c r="C41" s="22"/>
      <c r="D41" s="22"/>
      <c r="E41" s="22"/>
      <c r="F41" s="22"/>
      <c r="G41" s="22"/>
      <c r="H41" s="22"/>
      <c r="I41" s="22"/>
      <c r="J41" s="22"/>
    </row>
    <row r="42" spans="1:10" x14ac:dyDescent="0.25">
      <c r="A42" s="26">
        <v>41</v>
      </c>
      <c r="B42" s="22"/>
      <c r="C42" s="22"/>
      <c r="D42" s="22"/>
      <c r="E42" s="22"/>
      <c r="F42" s="22"/>
      <c r="G42" s="22"/>
      <c r="H42" s="22"/>
      <c r="I42" s="22"/>
      <c r="J42" s="22"/>
    </row>
    <row r="43" spans="1:10" x14ac:dyDescent="0.25">
      <c r="A43" s="26">
        <v>42</v>
      </c>
      <c r="B43" s="22"/>
      <c r="C43" s="22"/>
      <c r="D43" s="22"/>
      <c r="E43" s="22"/>
      <c r="F43" s="22"/>
      <c r="G43" s="22"/>
      <c r="H43" s="22"/>
      <c r="I43" s="22"/>
      <c r="J43" s="22"/>
    </row>
    <row r="44" spans="1:10" x14ac:dyDescent="0.25">
      <c r="A44" s="26">
        <v>43</v>
      </c>
      <c r="B44" s="22"/>
      <c r="C44" s="22"/>
      <c r="D44" s="22"/>
      <c r="E44" s="22"/>
      <c r="F44" s="22"/>
      <c r="G44" s="22"/>
      <c r="H44" s="22"/>
      <c r="I44" s="22"/>
      <c r="J44" s="22"/>
    </row>
    <row r="45" spans="1:10" x14ac:dyDescent="0.25">
      <c r="A45" s="26">
        <v>44</v>
      </c>
      <c r="B45" s="22"/>
      <c r="C45" s="22"/>
      <c r="D45" s="22"/>
      <c r="E45" s="22"/>
      <c r="F45" s="22"/>
      <c r="G45" s="22"/>
      <c r="H45" s="22"/>
      <c r="I45" s="22"/>
      <c r="J45" s="22"/>
    </row>
    <row r="46" spans="1:10" x14ac:dyDescent="0.25">
      <c r="A46" s="26">
        <v>45</v>
      </c>
      <c r="B46" s="22"/>
      <c r="C46" s="22"/>
      <c r="D46" s="22"/>
      <c r="E46" s="22"/>
      <c r="F46" s="22"/>
      <c r="G46" s="22"/>
      <c r="H46" s="22"/>
      <c r="I46" s="22"/>
      <c r="J46" s="22"/>
    </row>
    <row r="47" spans="1:10" x14ac:dyDescent="0.25">
      <c r="A47" s="26">
        <v>46</v>
      </c>
      <c r="B47" s="22"/>
      <c r="C47" s="22"/>
      <c r="D47" s="22"/>
      <c r="E47" s="22"/>
      <c r="F47" s="22"/>
      <c r="G47" s="22"/>
      <c r="H47" s="22"/>
      <c r="I47" s="22"/>
      <c r="J47" s="22"/>
    </row>
    <row r="48" spans="1:10" x14ac:dyDescent="0.25">
      <c r="A48" s="26">
        <v>47</v>
      </c>
      <c r="B48" s="22"/>
      <c r="C48" s="22"/>
      <c r="D48" s="22"/>
      <c r="E48" s="22"/>
      <c r="F48" s="22"/>
      <c r="G48" s="22"/>
      <c r="H48" s="22"/>
      <c r="I48" s="22"/>
      <c r="J48" s="22"/>
    </row>
    <row r="49" spans="1:10" x14ac:dyDescent="0.25">
      <c r="A49" s="26">
        <v>48</v>
      </c>
      <c r="B49" s="22"/>
      <c r="C49" s="22"/>
      <c r="D49" s="22"/>
      <c r="E49" s="22"/>
      <c r="F49" s="22"/>
      <c r="G49" s="22"/>
      <c r="H49" s="22"/>
      <c r="I49" s="22"/>
      <c r="J49" s="22"/>
    </row>
    <row r="50" spans="1:10" x14ac:dyDescent="0.25">
      <c r="A50" s="26">
        <v>49</v>
      </c>
      <c r="B50" s="22"/>
      <c r="C50" s="22"/>
      <c r="D50" s="22"/>
      <c r="E50" s="22"/>
      <c r="F50" s="22"/>
      <c r="G50" s="22"/>
      <c r="H50" s="22"/>
      <c r="I50" s="22"/>
      <c r="J50" s="22"/>
    </row>
    <row r="51" spans="1:10" x14ac:dyDescent="0.25">
      <c r="A51" s="26">
        <v>50</v>
      </c>
      <c r="B51" s="22"/>
      <c r="C51" s="22"/>
      <c r="D51" s="22"/>
      <c r="E51" s="22"/>
      <c r="F51" s="22"/>
      <c r="G51" s="22"/>
      <c r="H51" s="22"/>
      <c r="I51" s="22"/>
      <c r="J51" s="22"/>
    </row>
    <row r="52" spans="1:10" x14ac:dyDescent="0.25">
      <c r="A52" s="26">
        <v>51</v>
      </c>
      <c r="B52" s="22"/>
      <c r="C52" s="22"/>
      <c r="D52" s="22"/>
      <c r="E52" s="22"/>
      <c r="F52" s="22"/>
      <c r="G52" s="22"/>
      <c r="H52" s="22"/>
      <c r="I52" s="22"/>
      <c r="J52" s="22"/>
    </row>
    <row r="53" spans="1:10" x14ac:dyDescent="0.25">
      <c r="A53" s="26">
        <v>52</v>
      </c>
      <c r="B53" s="22"/>
      <c r="C53" s="22"/>
      <c r="D53" s="22"/>
      <c r="E53" s="22"/>
      <c r="F53" s="22"/>
      <c r="G53" s="22"/>
      <c r="H53" s="22"/>
      <c r="I53" s="22"/>
      <c r="J53" s="22"/>
    </row>
    <row r="54" spans="1:10" x14ac:dyDescent="0.25">
      <c r="A54" s="26">
        <v>53</v>
      </c>
      <c r="B54" s="22"/>
      <c r="C54" s="22"/>
      <c r="D54" s="22"/>
      <c r="E54" s="22"/>
      <c r="F54" s="22"/>
      <c r="G54" s="22"/>
      <c r="H54" s="22"/>
      <c r="I54" s="22"/>
      <c r="J54" s="22"/>
    </row>
    <row r="55" spans="1:10" x14ac:dyDescent="0.25">
      <c r="A55" s="26">
        <v>54</v>
      </c>
      <c r="B55" s="22"/>
      <c r="C55" s="22"/>
      <c r="D55" s="22"/>
      <c r="E55" s="22"/>
      <c r="F55" s="22"/>
      <c r="G55" s="22"/>
      <c r="H55" s="22"/>
      <c r="I55" s="22"/>
      <c r="J55" s="22"/>
    </row>
    <row r="56" spans="1:10" x14ac:dyDescent="0.25">
      <c r="A56" s="26">
        <v>55</v>
      </c>
      <c r="B56" s="22"/>
      <c r="C56" s="22"/>
      <c r="D56" s="22"/>
      <c r="E56" s="22"/>
      <c r="F56" s="22"/>
      <c r="G56" s="22"/>
      <c r="H56" s="22"/>
      <c r="I56" s="22"/>
      <c r="J56" s="22"/>
    </row>
    <row r="57" spans="1:10" x14ac:dyDescent="0.25">
      <c r="A57" s="26">
        <v>56</v>
      </c>
      <c r="B57" s="22"/>
      <c r="C57" s="22"/>
      <c r="D57" s="22"/>
      <c r="E57" s="22"/>
      <c r="F57" s="22"/>
      <c r="G57" s="22"/>
      <c r="H57" s="22"/>
      <c r="I57" s="22"/>
      <c r="J57" s="22"/>
    </row>
    <row r="58" spans="1:10" x14ac:dyDescent="0.25">
      <c r="A58" s="26">
        <v>57</v>
      </c>
      <c r="B58" s="22"/>
      <c r="C58" s="22"/>
      <c r="D58" s="22"/>
      <c r="E58" s="22"/>
      <c r="F58" s="22"/>
      <c r="G58" s="22"/>
      <c r="H58" s="22"/>
      <c r="I58" s="22"/>
      <c r="J58" s="22"/>
    </row>
    <row r="59" spans="1:10" x14ac:dyDescent="0.25">
      <c r="A59" s="26">
        <v>58</v>
      </c>
      <c r="B59" s="22"/>
      <c r="C59" s="22"/>
      <c r="D59" s="22"/>
      <c r="E59" s="22"/>
      <c r="F59" s="22"/>
      <c r="G59" s="22"/>
      <c r="H59" s="22"/>
      <c r="I59" s="22"/>
      <c r="J59" s="22"/>
    </row>
    <row r="60" spans="1:10" x14ac:dyDescent="0.25">
      <c r="A60" s="26">
        <v>59</v>
      </c>
      <c r="B60" s="22"/>
      <c r="C60" s="22"/>
      <c r="D60" s="22"/>
      <c r="E60" s="22"/>
      <c r="F60" s="22"/>
      <c r="G60" s="22"/>
      <c r="H60" s="22"/>
      <c r="I60" s="22"/>
      <c r="J60" s="22"/>
    </row>
    <row r="61" spans="1:10" x14ac:dyDescent="0.25">
      <c r="A61" s="26">
        <v>60</v>
      </c>
      <c r="B61" s="22"/>
      <c r="C61" s="22"/>
      <c r="D61" s="22"/>
      <c r="E61" s="22"/>
      <c r="F61" s="22"/>
      <c r="G61" s="22"/>
      <c r="H61" s="22"/>
      <c r="I61" s="22"/>
      <c r="J61" s="22"/>
    </row>
    <row r="62" spans="1:10" x14ac:dyDescent="0.25">
      <c r="A62" s="26">
        <v>61</v>
      </c>
      <c r="B62" s="22"/>
      <c r="C62" s="22"/>
      <c r="D62" s="22"/>
      <c r="E62" s="22"/>
      <c r="F62" s="22"/>
      <c r="G62" s="22"/>
      <c r="H62" s="22"/>
      <c r="I62" s="22"/>
      <c r="J62" s="22"/>
    </row>
    <row r="63" spans="1:10" x14ac:dyDescent="0.25">
      <c r="A63" s="26">
        <v>62</v>
      </c>
      <c r="B63" s="22"/>
      <c r="C63" s="22"/>
      <c r="D63" s="22"/>
      <c r="E63" s="22"/>
      <c r="F63" s="22"/>
      <c r="G63" s="22"/>
      <c r="H63" s="22"/>
      <c r="I63" s="22"/>
      <c r="J63" s="22"/>
    </row>
    <row r="64" spans="1:10" x14ac:dyDescent="0.25">
      <c r="A64" s="26">
        <v>63</v>
      </c>
      <c r="B64" s="22"/>
      <c r="C64" s="22"/>
      <c r="D64" s="22"/>
      <c r="E64" s="22"/>
      <c r="F64" s="22"/>
      <c r="G64" s="22"/>
      <c r="H64" s="22"/>
      <c r="I64" s="22"/>
      <c r="J64" s="22"/>
    </row>
    <row r="65" spans="1:10" x14ac:dyDescent="0.25">
      <c r="A65" s="26">
        <v>64</v>
      </c>
      <c r="B65" s="22"/>
      <c r="C65" s="22"/>
      <c r="D65" s="22"/>
      <c r="E65" s="22"/>
      <c r="F65" s="22"/>
      <c r="G65" s="22"/>
      <c r="H65" s="22"/>
      <c r="I65" s="22"/>
      <c r="J65" s="22"/>
    </row>
    <row r="66" spans="1:10" x14ac:dyDescent="0.25">
      <c r="A66" s="26">
        <v>65</v>
      </c>
      <c r="B66" s="22"/>
      <c r="C66" s="22"/>
      <c r="D66" s="22"/>
      <c r="E66" s="22"/>
      <c r="F66" s="22"/>
      <c r="G66" s="22"/>
      <c r="H66" s="22"/>
      <c r="I66" s="22"/>
      <c r="J66" s="22"/>
    </row>
    <row r="67" spans="1:10" x14ac:dyDescent="0.25">
      <c r="A67" s="26">
        <v>66</v>
      </c>
      <c r="B67" s="22"/>
      <c r="C67" s="22"/>
      <c r="D67" s="22"/>
      <c r="E67" s="22"/>
      <c r="F67" s="22"/>
      <c r="G67" s="22"/>
      <c r="H67" s="22"/>
      <c r="I67" s="22"/>
      <c r="J67" s="22"/>
    </row>
    <row r="68" spans="1:10" x14ac:dyDescent="0.25">
      <c r="A68" s="26">
        <v>67</v>
      </c>
      <c r="B68" s="22"/>
      <c r="C68" s="22"/>
      <c r="D68" s="22"/>
      <c r="E68" s="22"/>
      <c r="F68" s="22"/>
      <c r="G68" s="22"/>
      <c r="H68" s="22"/>
      <c r="I68" s="22"/>
      <c r="J68" s="22"/>
    </row>
    <row r="69" spans="1:10" x14ac:dyDescent="0.25">
      <c r="A69" s="26">
        <v>68</v>
      </c>
      <c r="B69" s="22"/>
      <c r="C69" s="22"/>
      <c r="D69" s="22"/>
      <c r="E69" s="22"/>
      <c r="F69" s="22"/>
      <c r="G69" s="22"/>
      <c r="H69" s="22"/>
      <c r="I69" s="22"/>
      <c r="J69" s="22"/>
    </row>
    <row r="70" spans="1:10" x14ac:dyDescent="0.25">
      <c r="A70" s="26">
        <v>69</v>
      </c>
      <c r="B70" s="22"/>
      <c r="C70" s="22"/>
      <c r="D70" s="22"/>
      <c r="E70" s="22"/>
      <c r="F70" s="22"/>
      <c r="G70" s="22"/>
      <c r="H70" s="22"/>
      <c r="I70" s="22"/>
      <c r="J70" s="22"/>
    </row>
    <row r="71" spans="1:10" x14ac:dyDescent="0.25">
      <c r="A71" s="26">
        <v>70</v>
      </c>
      <c r="B71" s="22"/>
      <c r="C71" s="22"/>
      <c r="D71" s="22"/>
      <c r="E71" s="22"/>
      <c r="F71" s="22"/>
      <c r="G71" s="22"/>
      <c r="H71" s="22"/>
      <c r="I71" s="22"/>
      <c r="J71" s="22"/>
    </row>
    <row r="72" spans="1:10" x14ac:dyDescent="0.25">
      <c r="A72" s="26">
        <v>71</v>
      </c>
      <c r="B72" s="22"/>
      <c r="C72" s="22"/>
      <c r="D72" s="22"/>
      <c r="E72" s="22"/>
      <c r="F72" s="22"/>
      <c r="G72" s="22"/>
      <c r="H72" s="22"/>
      <c r="I72" s="22"/>
      <c r="J72" s="22"/>
    </row>
    <row r="73" spans="1:10" x14ac:dyDescent="0.25">
      <c r="A73" s="26">
        <v>72</v>
      </c>
      <c r="B73" s="22"/>
      <c r="C73" s="22"/>
      <c r="D73" s="22"/>
      <c r="E73" s="22"/>
      <c r="F73" s="22"/>
      <c r="G73" s="22"/>
      <c r="H73" s="22"/>
      <c r="I73" s="22"/>
      <c r="J73" s="22"/>
    </row>
    <row r="74" spans="1:10" x14ac:dyDescent="0.25">
      <c r="A74" s="26">
        <v>73</v>
      </c>
      <c r="B74" s="22"/>
      <c r="C74" s="22"/>
      <c r="D74" s="22"/>
      <c r="E74" s="22"/>
      <c r="F74" s="22"/>
      <c r="G74" s="22"/>
      <c r="H74" s="22"/>
      <c r="I74" s="22"/>
      <c r="J74" s="22"/>
    </row>
    <row r="75" spans="1:10" x14ac:dyDescent="0.25">
      <c r="A75" s="26">
        <v>74</v>
      </c>
      <c r="B75" s="22"/>
      <c r="C75" s="22"/>
      <c r="D75" s="22"/>
      <c r="E75" s="22"/>
      <c r="F75" s="22"/>
      <c r="G75" s="22"/>
      <c r="H75" s="22"/>
      <c r="I75" s="22"/>
      <c r="J75" s="22"/>
    </row>
    <row r="76" spans="1:10" x14ac:dyDescent="0.25">
      <c r="A76" s="26">
        <v>75</v>
      </c>
      <c r="B76" s="22"/>
      <c r="C76" s="22"/>
      <c r="D76" s="22"/>
      <c r="E76" s="22"/>
      <c r="F76" s="22"/>
      <c r="G76" s="22"/>
      <c r="H76" s="22"/>
      <c r="I76" s="22"/>
      <c r="J76" s="22"/>
    </row>
    <row r="77" spans="1:10" x14ac:dyDescent="0.25">
      <c r="A77" s="26">
        <v>76</v>
      </c>
      <c r="B77" s="22"/>
      <c r="C77" s="22"/>
      <c r="D77" s="22"/>
      <c r="E77" s="22"/>
      <c r="F77" s="22"/>
      <c r="G77" s="22"/>
      <c r="H77" s="22"/>
      <c r="I77" s="22"/>
      <c r="J77" s="22"/>
    </row>
    <row r="78" spans="1:10" x14ac:dyDescent="0.25">
      <c r="A78" s="26">
        <v>77</v>
      </c>
      <c r="B78" s="22"/>
      <c r="C78" s="22"/>
      <c r="D78" s="22"/>
      <c r="E78" s="22"/>
      <c r="F78" s="22"/>
      <c r="G78" s="22"/>
      <c r="H78" s="22"/>
      <c r="I78" s="22"/>
      <c r="J78" s="22"/>
    </row>
    <row r="79" spans="1:10" x14ac:dyDescent="0.25">
      <c r="A79" s="26">
        <v>78</v>
      </c>
      <c r="B79" s="22"/>
      <c r="C79" s="22"/>
      <c r="D79" s="22"/>
      <c r="E79" s="22"/>
      <c r="F79" s="22"/>
      <c r="G79" s="22"/>
      <c r="H79" s="22"/>
      <c r="I79" s="22"/>
      <c r="J79" s="22"/>
    </row>
    <row r="80" spans="1:10" x14ac:dyDescent="0.25">
      <c r="A80" s="26">
        <v>79</v>
      </c>
      <c r="B80" s="22"/>
      <c r="C80" s="22"/>
      <c r="D80" s="22"/>
      <c r="E80" s="22"/>
      <c r="F80" s="22"/>
      <c r="G80" s="22"/>
      <c r="H80" s="22"/>
      <c r="I80" s="22"/>
      <c r="J80" s="22"/>
    </row>
    <row r="81" spans="1:10" x14ac:dyDescent="0.25">
      <c r="A81" s="26">
        <v>80</v>
      </c>
      <c r="B81" s="22"/>
      <c r="C81" s="22"/>
      <c r="D81" s="22"/>
      <c r="E81" s="22"/>
      <c r="F81" s="22"/>
      <c r="G81" s="22"/>
      <c r="H81" s="22"/>
      <c r="I81" s="22"/>
      <c r="J81" s="22"/>
    </row>
    <row r="82" spans="1:10" x14ac:dyDescent="0.25">
      <c r="A82" s="26">
        <v>81</v>
      </c>
      <c r="B82" s="22"/>
      <c r="C82" s="22"/>
      <c r="D82" s="22"/>
      <c r="E82" s="22"/>
      <c r="F82" s="22"/>
      <c r="G82" s="22"/>
      <c r="H82" s="22"/>
      <c r="I82" s="22"/>
      <c r="J82" s="22"/>
    </row>
    <row r="83" spans="1:10" x14ac:dyDescent="0.25">
      <c r="A83" s="26">
        <v>82</v>
      </c>
      <c r="B83" s="22"/>
      <c r="C83" s="22"/>
      <c r="D83" s="22"/>
      <c r="E83" s="22"/>
      <c r="F83" s="22"/>
      <c r="G83" s="22"/>
      <c r="H83" s="22"/>
      <c r="I83" s="22"/>
      <c r="J83" s="22"/>
    </row>
    <row r="84" spans="1:10" x14ac:dyDescent="0.25">
      <c r="A84" s="26">
        <v>83</v>
      </c>
      <c r="B84" s="22"/>
      <c r="C84" s="22"/>
      <c r="D84" s="22"/>
      <c r="E84" s="22"/>
      <c r="F84" s="22"/>
      <c r="G84" s="22"/>
      <c r="H84" s="22"/>
      <c r="I84" s="22"/>
      <c r="J84" s="22"/>
    </row>
    <row r="85" spans="1:10" x14ac:dyDescent="0.25">
      <c r="A85" s="26">
        <v>84</v>
      </c>
      <c r="B85" s="22"/>
      <c r="C85" s="22"/>
      <c r="D85" s="22"/>
      <c r="E85" s="22"/>
      <c r="F85" s="22"/>
      <c r="G85" s="22"/>
      <c r="H85" s="22"/>
      <c r="I85" s="22"/>
      <c r="J85" s="22"/>
    </row>
    <row r="86" spans="1:10" x14ac:dyDescent="0.25">
      <c r="A86" s="26">
        <v>85</v>
      </c>
      <c r="B86" s="22"/>
      <c r="C86" s="22"/>
      <c r="D86" s="22"/>
      <c r="E86" s="22"/>
      <c r="F86" s="22"/>
      <c r="G86" s="22"/>
      <c r="H86" s="22"/>
      <c r="I86" s="22"/>
      <c r="J86" s="22"/>
    </row>
    <row r="87" spans="1:10" x14ac:dyDescent="0.25">
      <c r="A87" s="26">
        <v>86</v>
      </c>
      <c r="B87" s="22"/>
      <c r="C87" s="22"/>
      <c r="D87" s="22"/>
      <c r="E87" s="22"/>
      <c r="F87" s="22"/>
      <c r="G87" s="22"/>
      <c r="H87" s="22"/>
      <c r="I87" s="22"/>
      <c r="J87" s="22"/>
    </row>
    <row r="88" spans="1:10" x14ac:dyDescent="0.25">
      <c r="A88" s="26">
        <v>87</v>
      </c>
      <c r="B88" s="22"/>
      <c r="C88" s="22"/>
      <c r="D88" s="22"/>
      <c r="E88" s="22"/>
      <c r="F88" s="22"/>
      <c r="G88" s="22"/>
      <c r="H88" s="22"/>
      <c r="I88" s="22"/>
      <c r="J88" s="22"/>
    </row>
    <row r="89" spans="1:10" x14ac:dyDescent="0.25">
      <c r="A89" s="26">
        <v>88</v>
      </c>
      <c r="B89" s="22"/>
      <c r="C89" s="22"/>
      <c r="D89" s="22"/>
      <c r="E89" s="22"/>
      <c r="F89" s="22"/>
      <c r="G89" s="22"/>
      <c r="H89" s="22"/>
      <c r="I89" s="22"/>
      <c r="J89" s="22"/>
    </row>
    <row r="90" spans="1:10" x14ac:dyDescent="0.25">
      <c r="A90" s="26">
        <v>89</v>
      </c>
      <c r="B90" s="22"/>
      <c r="C90" s="22"/>
      <c r="D90" s="22"/>
      <c r="E90" s="22"/>
      <c r="F90" s="22"/>
      <c r="G90" s="22"/>
      <c r="H90" s="22"/>
      <c r="I90" s="22"/>
      <c r="J90" s="22"/>
    </row>
    <row r="91" spans="1:10" x14ac:dyDescent="0.25">
      <c r="A91" s="26">
        <v>90</v>
      </c>
      <c r="B91" s="22"/>
      <c r="C91" s="22"/>
      <c r="D91" s="22"/>
      <c r="E91" s="22"/>
      <c r="F91" s="22"/>
      <c r="G91" s="22"/>
      <c r="H91" s="22"/>
      <c r="I91" s="22"/>
      <c r="J91" s="22"/>
    </row>
    <row r="92" spans="1:10" x14ac:dyDescent="0.25">
      <c r="A92" s="26">
        <v>91</v>
      </c>
      <c r="B92" s="22"/>
      <c r="C92" s="22"/>
      <c r="D92" s="22"/>
      <c r="E92" s="22"/>
      <c r="F92" s="22"/>
      <c r="G92" s="22"/>
      <c r="H92" s="22"/>
      <c r="I92" s="22"/>
      <c r="J92" s="22"/>
    </row>
    <row r="93" spans="1:10" x14ac:dyDescent="0.25">
      <c r="A93" s="26">
        <v>92</v>
      </c>
      <c r="B93" s="22"/>
      <c r="C93" s="22"/>
      <c r="D93" s="22"/>
      <c r="E93" s="22"/>
      <c r="F93" s="22"/>
      <c r="G93" s="22"/>
      <c r="H93" s="22"/>
      <c r="I93" s="22"/>
      <c r="J93" s="22"/>
    </row>
    <row r="94" spans="1:10" x14ac:dyDescent="0.25">
      <c r="A94" s="26">
        <v>93</v>
      </c>
      <c r="B94" s="22"/>
      <c r="C94" s="22"/>
      <c r="D94" s="22"/>
      <c r="E94" s="22"/>
      <c r="F94" s="22"/>
      <c r="G94" s="22"/>
      <c r="H94" s="22"/>
      <c r="I94" s="22"/>
      <c r="J94" s="22"/>
    </row>
    <row r="95" spans="1:10" x14ac:dyDescent="0.25">
      <c r="A95" s="26">
        <v>94</v>
      </c>
      <c r="B95" s="22"/>
      <c r="C95" s="22"/>
      <c r="D95" s="22"/>
      <c r="E95" s="22"/>
      <c r="F95" s="22"/>
      <c r="G95" s="22"/>
      <c r="H95" s="22"/>
      <c r="I95" s="22"/>
      <c r="J95" s="22"/>
    </row>
    <row r="96" spans="1:10" x14ac:dyDescent="0.25">
      <c r="A96" s="26">
        <v>95</v>
      </c>
      <c r="B96" s="22"/>
      <c r="C96" s="22"/>
      <c r="D96" s="22"/>
      <c r="E96" s="22"/>
      <c r="F96" s="22"/>
      <c r="G96" s="22"/>
      <c r="H96" s="22"/>
      <c r="I96" s="22"/>
      <c r="J96" s="22"/>
    </row>
    <row r="97" spans="1:10" x14ac:dyDescent="0.25">
      <c r="A97" s="26">
        <v>96</v>
      </c>
      <c r="B97" s="22"/>
      <c r="C97" s="22"/>
      <c r="D97" s="22"/>
      <c r="E97" s="22"/>
      <c r="F97" s="22"/>
      <c r="G97" s="22"/>
      <c r="H97" s="22"/>
      <c r="I97" s="22"/>
      <c r="J97" s="22"/>
    </row>
    <row r="98" spans="1:10" x14ac:dyDescent="0.25">
      <c r="A98" s="26">
        <v>97</v>
      </c>
      <c r="B98" s="22"/>
      <c r="C98" s="22"/>
      <c r="D98" s="22"/>
      <c r="E98" s="22"/>
      <c r="F98" s="22"/>
      <c r="G98" s="22"/>
      <c r="H98" s="22"/>
      <c r="I98" s="22"/>
      <c r="J98" s="22"/>
    </row>
    <row r="99" spans="1:10" x14ac:dyDescent="0.25">
      <c r="A99" s="26">
        <v>98</v>
      </c>
      <c r="B99" s="22"/>
      <c r="C99" s="22"/>
      <c r="D99" s="22"/>
      <c r="E99" s="22"/>
      <c r="F99" s="22"/>
      <c r="G99" s="22"/>
      <c r="H99" s="22"/>
      <c r="I99" s="22"/>
      <c r="J99" s="22"/>
    </row>
    <row r="100" spans="1:10" x14ac:dyDescent="0.25">
      <c r="A100" s="26">
        <v>99</v>
      </c>
      <c r="B100" s="22"/>
      <c r="C100" s="22"/>
      <c r="D100" s="22"/>
      <c r="E100" s="22"/>
      <c r="F100" s="22"/>
      <c r="G100" s="22"/>
      <c r="H100" s="22"/>
      <c r="I100" s="22"/>
      <c r="J100" s="22"/>
    </row>
    <row r="101" spans="1:10" x14ac:dyDescent="0.25">
      <c r="A101" s="26">
        <v>100</v>
      </c>
      <c r="B101" s="22"/>
      <c r="C101" s="22"/>
      <c r="D101" s="22"/>
      <c r="E101" s="22"/>
      <c r="F101" s="22"/>
      <c r="G101" s="22"/>
      <c r="H101" s="22"/>
      <c r="I101" s="22"/>
      <c r="J101" s="22"/>
    </row>
    <row r="102" spans="1:10" x14ac:dyDescent="0.25">
      <c r="A102" s="26">
        <v>101</v>
      </c>
      <c r="B102" s="22"/>
      <c r="C102" s="22"/>
      <c r="D102" s="22"/>
      <c r="E102" s="22"/>
      <c r="F102" s="22"/>
      <c r="G102" s="22"/>
      <c r="H102" s="22"/>
      <c r="I102" s="22"/>
      <c r="J102" s="22"/>
    </row>
    <row r="103" spans="1:10" x14ac:dyDescent="0.25">
      <c r="A103" s="26">
        <v>102</v>
      </c>
      <c r="B103" s="22"/>
      <c r="C103" s="22"/>
      <c r="D103" s="22"/>
      <c r="E103" s="22"/>
      <c r="F103" s="22"/>
      <c r="G103" s="22"/>
      <c r="H103" s="22"/>
      <c r="I103" s="22"/>
      <c r="J103" s="22"/>
    </row>
    <row r="104" spans="1:10" x14ac:dyDescent="0.25">
      <c r="A104" s="26">
        <v>103</v>
      </c>
      <c r="B104" s="22"/>
      <c r="C104" s="22"/>
      <c r="D104" s="22"/>
      <c r="E104" s="22"/>
      <c r="F104" s="22"/>
      <c r="G104" s="22"/>
      <c r="H104" s="22"/>
      <c r="I104" s="22"/>
      <c r="J104" s="22"/>
    </row>
    <row r="105" spans="1:10" x14ac:dyDescent="0.25">
      <c r="A105" s="26">
        <v>104</v>
      </c>
      <c r="B105" s="22"/>
      <c r="C105" s="22"/>
      <c r="D105" s="22"/>
      <c r="E105" s="22"/>
      <c r="F105" s="22"/>
      <c r="G105" s="22"/>
      <c r="H105" s="22"/>
      <c r="I105" s="22"/>
      <c r="J105" s="22"/>
    </row>
    <row r="106" spans="1:10" x14ac:dyDescent="0.25">
      <c r="A106" s="26">
        <v>105</v>
      </c>
      <c r="B106" s="22"/>
      <c r="C106" s="22"/>
      <c r="D106" s="22"/>
      <c r="E106" s="22"/>
      <c r="F106" s="22"/>
      <c r="G106" s="22"/>
      <c r="H106" s="22"/>
      <c r="I106" s="22"/>
      <c r="J106" s="22"/>
    </row>
    <row r="107" spans="1:10" x14ac:dyDescent="0.25">
      <c r="A107" s="26">
        <v>106</v>
      </c>
      <c r="B107" s="22"/>
      <c r="C107" s="22"/>
      <c r="D107" s="22"/>
      <c r="E107" s="22"/>
      <c r="F107" s="22"/>
      <c r="G107" s="22"/>
      <c r="H107" s="22"/>
      <c r="I107" s="22"/>
      <c r="J107" s="22"/>
    </row>
    <row r="108" spans="1:10" x14ac:dyDescent="0.25">
      <c r="A108" s="26">
        <v>107</v>
      </c>
      <c r="B108" s="22"/>
      <c r="C108" s="22"/>
      <c r="D108" s="22"/>
      <c r="E108" s="22"/>
      <c r="F108" s="22"/>
      <c r="G108" s="22"/>
      <c r="H108" s="22"/>
      <c r="I108" s="22"/>
      <c r="J108" s="22"/>
    </row>
    <row r="109" spans="1:10" x14ac:dyDescent="0.25">
      <c r="A109" s="26">
        <v>108</v>
      </c>
      <c r="B109" s="22"/>
      <c r="C109" s="22"/>
      <c r="D109" s="22"/>
      <c r="E109" s="22"/>
      <c r="F109" s="22"/>
      <c r="G109" s="22"/>
      <c r="H109" s="22"/>
      <c r="I109" s="22"/>
      <c r="J109" s="22"/>
    </row>
    <row r="110" spans="1:10" x14ac:dyDescent="0.25">
      <c r="A110" s="26">
        <v>109</v>
      </c>
      <c r="B110" s="22"/>
      <c r="C110" s="22"/>
      <c r="D110" s="22"/>
      <c r="E110" s="22"/>
      <c r="F110" s="22"/>
      <c r="G110" s="22"/>
      <c r="H110" s="22"/>
      <c r="I110" s="22"/>
      <c r="J110" s="22"/>
    </row>
    <row r="111" spans="1:10" x14ac:dyDescent="0.25">
      <c r="A111" s="26">
        <v>110</v>
      </c>
      <c r="B111" s="22"/>
      <c r="C111" s="22"/>
      <c r="D111" s="22"/>
      <c r="E111" s="22"/>
      <c r="F111" s="22"/>
      <c r="G111" s="22"/>
      <c r="H111" s="22"/>
      <c r="I111" s="22"/>
      <c r="J111" s="22"/>
    </row>
    <row r="112" spans="1:10" x14ac:dyDescent="0.25">
      <c r="A112" s="26">
        <v>111</v>
      </c>
      <c r="B112" s="22"/>
      <c r="C112" s="22"/>
      <c r="D112" s="22"/>
      <c r="E112" s="22"/>
      <c r="F112" s="22"/>
      <c r="G112" s="22"/>
      <c r="H112" s="22"/>
      <c r="I112" s="22"/>
      <c r="J112" s="22"/>
    </row>
    <row r="113" spans="1:10" x14ac:dyDescent="0.25">
      <c r="A113" s="26">
        <v>112</v>
      </c>
      <c r="B113" s="22"/>
      <c r="C113" s="22"/>
      <c r="D113" s="22"/>
      <c r="E113" s="22"/>
      <c r="F113" s="22"/>
      <c r="G113" s="22"/>
      <c r="H113" s="22"/>
      <c r="I113" s="22"/>
      <c r="J113" s="22"/>
    </row>
    <row r="114" spans="1:10" x14ac:dyDescent="0.25">
      <c r="A114" s="26">
        <v>113</v>
      </c>
      <c r="B114" s="22"/>
      <c r="C114" s="22"/>
      <c r="D114" s="22"/>
      <c r="E114" s="22"/>
      <c r="F114" s="22"/>
      <c r="G114" s="22"/>
      <c r="H114" s="22"/>
      <c r="I114" s="22"/>
      <c r="J114" s="22"/>
    </row>
    <row r="115" spans="1:10" x14ac:dyDescent="0.25">
      <c r="A115" s="26">
        <v>114</v>
      </c>
      <c r="B115" s="22"/>
      <c r="C115" s="22"/>
      <c r="D115" s="22"/>
      <c r="E115" s="22"/>
      <c r="F115" s="22"/>
      <c r="G115" s="22"/>
      <c r="H115" s="22"/>
      <c r="I115" s="22"/>
      <c r="J115" s="22"/>
    </row>
    <row r="116" spans="1:10" x14ac:dyDescent="0.25">
      <c r="A116" s="26">
        <v>115</v>
      </c>
      <c r="B116" s="22"/>
      <c r="C116" s="22"/>
      <c r="D116" s="22"/>
      <c r="E116" s="22"/>
      <c r="F116" s="22"/>
      <c r="G116" s="22"/>
      <c r="H116" s="22"/>
      <c r="I116" s="22"/>
      <c r="J116" s="22"/>
    </row>
    <row r="117" spans="1:10" x14ac:dyDescent="0.25">
      <c r="A117" s="26">
        <v>116</v>
      </c>
      <c r="B117" s="22"/>
      <c r="C117" s="22"/>
      <c r="D117" s="22"/>
      <c r="E117" s="22"/>
      <c r="F117" s="22"/>
      <c r="G117" s="22"/>
      <c r="H117" s="22"/>
      <c r="I117" s="22"/>
      <c r="J117" s="22"/>
    </row>
    <row r="118" spans="1:10" x14ac:dyDescent="0.25">
      <c r="A118" s="26">
        <v>117</v>
      </c>
      <c r="B118" s="22"/>
      <c r="C118" s="22"/>
      <c r="D118" s="22"/>
      <c r="E118" s="22"/>
      <c r="F118" s="22"/>
      <c r="G118" s="22"/>
      <c r="H118" s="22"/>
      <c r="I118" s="22"/>
      <c r="J118" s="22"/>
    </row>
    <row r="119" spans="1:10" x14ac:dyDescent="0.25">
      <c r="A119" s="26">
        <v>118</v>
      </c>
      <c r="B119" s="22"/>
      <c r="C119" s="22"/>
      <c r="D119" s="22"/>
      <c r="E119" s="22"/>
      <c r="F119" s="22"/>
      <c r="G119" s="22"/>
      <c r="H119" s="22"/>
      <c r="I119" s="22"/>
      <c r="J119" s="22"/>
    </row>
    <row r="120" spans="1:10" x14ac:dyDescent="0.25">
      <c r="A120" s="26">
        <v>119</v>
      </c>
      <c r="B120" s="22"/>
      <c r="C120" s="22"/>
      <c r="D120" s="22"/>
      <c r="E120" s="22"/>
      <c r="F120" s="22"/>
      <c r="G120" s="22"/>
      <c r="H120" s="22"/>
      <c r="I120" s="22"/>
      <c r="J120" s="22"/>
    </row>
    <row r="121" spans="1:10" x14ac:dyDescent="0.25">
      <c r="A121" s="26">
        <v>120</v>
      </c>
      <c r="B121" s="22"/>
      <c r="C121" s="22"/>
      <c r="D121" s="22"/>
      <c r="E121" s="22"/>
      <c r="F121" s="22"/>
      <c r="G121" s="22"/>
      <c r="H121" s="22"/>
      <c r="I121" s="22"/>
      <c r="J121" s="22"/>
    </row>
    <row r="122" spans="1:10" x14ac:dyDescent="0.25">
      <c r="A122" s="26">
        <v>121</v>
      </c>
      <c r="B122" s="22"/>
      <c r="C122" s="22"/>
      <c r="D122" s="22"/>
      <c r="E122" s="22"/>
      <c r="F122" s="22"/>
      <c r="G122" s="22"/>
      <c r="H122" s="22"/>
      <c r="I122" s="22"/>
      <c r="J122" s="22"/>
    </row>
    <row r="123" spans="1:10" x14ac:dyDescent="0.25">
      <c r="A123" s="26">
        <v>122</v>
      </c>
      <c r="B123" s="22"/>
      <c r="C123" s="22"/>
      <c r="D123" s="22"/>
      <c r="E123" s="22"/>
      <c r="F123" s="22"/>
      <c r="G123" s="22"/>
      <c r="H123" s="22"/>
      <c r="I123" s="22"/>
      <c r="J123" s="22"/>
    </row>
    <row r="124" spans="1:10" x14ac:dyDescent="0.25">
      <c r="A124" s="26">
        <v>123</v>
      </c>
      <c r="B124" s="22"/>
      <c r="C124" s="22"/>
      <c r="D124" s="22"/>
      <c r="E124" s="22"/>
      <c r="F124" s="22"/>
      <c r="G124" s="22"/>
      <c r="H124" s="22"/>
      <c r="I124" s="22"/>
      <c r="J124" s="22"/>
    </row>
    <row r="125" spans="1:10" x14ac:dyDescent="0.25">
      <c r="A125" s="26">
        <v>124</v>
      </c>
      <c r="B125" s="22"/>
      <c r="C125" s="22"/>
      <c r="D125" s="22"/>
      <c r="E125" s="22"/>
      <c r="F125" s="22"/>
      <c r="G125" s="22"/>
      <c r="H125" s="22"/>
      <c r="I125" s="22"/>
      <c r="J125" s="22"/>
    </row>
    <row r="126" spans="1:10" x14ac:dyDescent="0.25">
      <c r="A126" s="26">
        <v>125</v>
      </c>
      <c r="B126" s="22"/>
      <c r="C126" s="22"/>
      <c r="D126" s="22"/>
      <c r="E126" s="22"/>
      <c r="F126" s="22"/>
      <c r="G126" s="22"/>
      <c r="H126" s="22"/>
      <c r="I126" s="22"/>
      <c r="J126" s="22"/>
    </row>
    <row r="127" spans="1:10" x14ac:dyDescent="0.25">
      <c r="A127" s="26">
        <v>126</v>
      </c>
      <c r="B127" s="22"/>
      <c r="C127" s="22"/>
      <c r="D127" s="22"/>
      <c r="E127" s="22"/>
      <c r="F127" s="22"/>
      <c r="G127" s="22"/>
      <c r="H127" s="22"/>
      <c r="I127" s="22"/>
      <c r="J127" s="22"/>
    </row>
    <row r="128" spans="1:10" x14ac:dyDescent="0.25">
      <c r="A128" s="26">
        <v>127</v>
      </c>
      <c r="B128" s="22"/>
      <c r="C128" s="22"/>
      <c r="D128" s="22"/>
      <c r="E128" s="22"/>
      <c r="F128" s="22"/>
      <c r="G128" s="22"/>
      <c r="H128" s="22"/>
      <c r="I128" s="22"/>
      <c r="J128" s="22"/>
    </row>
    <row r="129" spans="1:10" x14ac:dyDescent="0.25">
      <c r="A129" s="26">
        <v>128</v>
      </c>
      <c r="B129" s="22"/>
      <c r="C129" s="22"/>
      <c r="D129" s="22"/>
      <c r="E129" s="22"/>
      <c r="F129" s="22"/>
      <c r="G129" s="22"/>
      <c r="H129" s="22"/>
      <c r="I129" s="22"/>
      <c r="J129" s="22"/>
    </row>
    <row r="130" spans="1:10" x14ac:dyDescent="0.25">
      <c r="A130" s="26">
        <v>129</v>
      </c>
      <c r="B130" s="22"/>
      <c r="C130" s="22"/>
      <c r="D130" s="22"/>
      <c r="E130" s="22"/>
      <c r="F130" s="22"/>
      <c r="G130" s="22"/>
      <c r="H130" s="22"/>
      <c r="I130" s="22"/>
      <c r="J130" s="22"/>
    </row>
    <row r="131" spans="1:10" x14ac:dyDescent="0.25">
      <c r="A131" s="26">
        <v>130</v>
      </c>
      <c r="B131" s="22"/>
      <c r="C131" s="22"/>
      <c r="D131" s="22"/>
      <c r="E131" s="22"/>
      <c r="F131" s="22"/>
      <c r="G131" s="22"/>
      <c r="H131" s="22"/>
      <c r="I131" s="22"/>
      <c r="J131" s="22"/>
    </row>
    <row r="132" spans="1:10" x14ac:dyDescent="0.25">
      <c r="A132" s="26">
        <v>131</v>
      </c>
      <c r="B132" s="22"/>
      <c r="C132" s="22"/>
      <c r="D132" s="22"/>
      <c r="E132" s="22"/>
      <c r="F132" s="22"/>
      <c r="G132" s="22"/>
      <c r="H132" s="22"/>
      <c r="I132" s="22"/>
      <c r="J132" s="22"/>
    </row>
    <row r="133" spans="1:10" x14ac:dyDescent="0.25">
      <c r="A133" s="26">
        <v>132</v>
      </c>
      <c r="B133" s="22"/>
      <c r="C133" s="22"/>
      <c r="D133" s="22"/>
      <c r="E133" s="22"/>
      <c r="F133" s="22"/>
      <c r="G133" s="22"/>
      <c r="H133" s="22"/>
      <c r="I133" s="22"/>
      <c r="J133" s="22"/>
    </row>
    <row r="134" spans="1:10" x14ac:dyDescent="0.25">
      <c r="A134" s="26">
        <v>133</v>
      </c>
      <c r="B134" s="22"/>
      <c r="C134" s="22"/>
      <c r="D134" s="22"/>
      <c r="E134" s="22"/>
      <c r="F134" s="22"/>
      <c r="G134" s="22"/>
      <c r="H134" s="22"/>
      <c r="I134" s="22"/>
      <c r="J134" s="22"/>
    </row>
    <row r="135" spans="1:10" x14ac:dyDescent="0.25">
      <c r="A135" s="26">
        <v>134</v>
      </c>
      <c r="B135" s="22"/>
      <c r="C135" s="22"/>
      <c r="D135" s="22"/>
      <c r="E135" s="22"/>
      <c r="F135" s="22"/>
      <c r="G135" s="22"/>
      <c r="H135" s="22"/>
      <c r="I135" s="22"/>
      <c r="J135" s="22"/>
    </row>
    <row r="136" spans="1:10" x14ac:dyDescent="0.25">
      <c r="A136" s="26">
        <v>135</v>
      </c>
      <c r="B136" s="22"/>
      <c r="C136" s="22"/>
      <c r="D136" s="22"/>
      <c r="E136" s="22"/>
      <c r="F136" s="22"/>
      <c r="G136" s="22"/>
      <c r="H136" s="22"/>
      <c r="I136" s="22"/>
      <c r="J136" s="22"/>
    </row>
    <row r="137" spans="1:10" x14ac:dyDescent="0.25">
      <c r="A137" s="26">
        <v>136</v>
      </c>
      <c r="B137" s="22"/>
      <c r="C137" s="22"/>
      <c r="D137" s="22"/>
      <c r="E137" s="22"/>
      <c r="F137" s="22"/>
      <c r="G137" s="22"/>
      <c r="H137" s="22"/>
      <c r="I137" s="22"/>
      <c r="J137" s="22"/>
    </row>
    <row r="138" spans="1:10" x14ac:dyDescent="0.25">
      <c r="A138" s="26">
        <v>137</v>
      </c>
      <c r="B138" s="22"/>
      <c r="C138" s="22"/>
      <c r="D138" s="22"/>
      <c r="E138" s="22"/>
      <c r="F138" s="22"/>
      <c r="G138" s="22"/>
      <c r="H138" s="22"/>
      <c r="I138" s="22"/>
      <c r="J138" s="22"/>
    </row>
    <row r="139" spans="1:10" x14ac:dyDescent="0.25">
      <c r="A139" s="26">
        <v>138</v>
      </c>
      <c r="B139" s="22"/>
      <c r="C139" s="22"/>
      <c r="D139" s="22"/>
      <c r="E139" s="22"/>
      <c r="F139" s="22"/>
      <c r="G139" s="22"/>
      <c r="H139" s="22"/>
      <c r="I139" s="22"/>
      <c r="J139" s="22"/>
    </row>
    <row r="140" spans="1:10" x14ac:dyDescent="0.25">
      <c r="A140" s="26">
        <v>139</v>
      </c>
      <c r="B140" s="22"/>
      <c r="C140" s="22"/>
      <c r="D140" s="22"/>
      <c r="E140" s="22"/>
      <c r="F140" s="22"/>
      <c r="G140" s="22"/>
      <c r="H140" s="22"/>
      <c r="I140" s="22"/>
      <c r="J140" s="22"/>
    </row>
    <row r="141" spans="1:10" x14ac:dyDescent="0.25">
      <c r="A141" s="26">
        <v>140</v>
      </c>
      <c r="B141" s="22"/>
      <c r="C141" s="22"/>
      <c r="D141" s="22"/>
      <c r="E141" s="22"/>
      <c r="F141" s="22"/>
      <c r="G141" s="22"/>
      <c r="H141" s="22"/>
      <c r="I141" s="22"/>
      <c r="J141" s="22"/>
    </row>
    <row r="142" spans="1:10" x14ac:dyDescent="0.25">
      <c r="A142" s="26">
        <v>141</v>
      </c>
      <c r="B142" s="22"/>
      <c r="C142" s="22"/>
      <c r="D142" s="22"/>
      <c r="E142" s="22"/>
      <c r="F142" s="22"/>
      <c r="G142" s="22"/>
      <c r="H142" s="22"/>
      <c r="I142" s="22"/>
      <c r="J142" s="22"/>
    </row>
    <row r="143" spans="1:10" x14ac:dyDescent="0.25">
      <c r="A143" s="26">
        <v>142</v>
      </c>
      <c r="B143" s="22"/>
      <c r="C143" s="22"/>
      <c r="D143" s="22"/>
      <c r="E143" s="22"/>
      <c r="F143" s="22"/>
      <c r="G143" s="22"/>
      <c r="H143" s="22"/>
      <c r="I143" s="22"/>
      <c r="J143" s="22"/>
    </row>
    <row r="144" spans="1:10" x14ac:dyDescent="0.25">
      <c r="A144" s="26">
        <v>143</v>
      </c>
      <c r="B144" s="22"/>
      <c r="C144" s="22"/>
      <c r="D144" s="22"/>
      <c r="E144" s="22"/>
      <c r="F144" s="22"/>
      <c r="G144" s="22"/>
      <c r="H144" s="22"/>
      <c r="I144" s="22"/>
      <c r="J144" s="22"/>
    </row>
    <row r="145" spans="1:10" x14ac:dyDescent="0.25">
      <c r="A145" s="26">
        <v>144</v>
      </c>
      <c r="B145" s="22"/>
      <c r="C145" s="22"/>
      <c r="D145" s="22"/>
      <c r="E145" s="22"/>
      <c r="F145" s="22"/>
      <c r="G145" s="22"/>
      <c r="H145" s="22"/>
      <c r="I145" s="22"/>
      <c r="J145" s="22"/>
    </row>
    <row r="146" spans="1:10" x14ac:dyDescent="0.25">
      <c r="A146" s="26">
        <v>145</v>
      </c>
      <c r="B146" s="22"/>
      <c r="C146" s="22"/>
      <c r="D146" s="22"/>
      <c r="E146" s="22"/>
      <c r="F146" s="22"/>
      <c r="G146" s="22"/>
      <c r="H146" s="22"/>
      <c r="I146" s="22"/>
      <c r="J146" s="22"/>
    </row>
    <row r="147" spans="1:10" x14ac:dyDescent="0.25">
      <c r="A147" s="26">
        <v>146</v>
      </c>
      <c r="B147" s="22"/>
      <c r="C147" s="22"/>
      <c r="D147" s="22"/>
      <c r="E147" s="22"/>
      <c r="F147" s="22"/>
      <c r="G147" s="22"/>
      <c r="H147" s="22"/>
      <c r="I147" s="22"/>
      <c r="J147" s="22"/>
    </row>
    <row r="148" spans="1:10" x14ac:dyDescent="0.25">
      <c r="A148" s="26">
        <v>147</v>
      </c>
      <c r="B148" s="22"/>
      <c r="C148" s="22"/>
      <c r="D148" s="22"/>
      <c r="E148" s="22"/>
      <c r="F148" s="22"/>
      <c r="G148" s="22"/>
      <c r="H148" s="22"/>
      <c r="I148" s="22"/>
      <c r="J148" s="22"/>
    </row>
    <row r="149" spans="1:10" x14ac:dyDescent="0.25">
      <c r="A149" s="26">
        <v>148</v>
      </c>
      <c r="B149" s="22"/>
      <c r="C149" s="22"/>
      <c r="D149" s="22"/>
      <c r="E149" s="22"/>
      <c r="F149" s="22"/>
      <c r="G149" s="22"/>
      <c r="H149" s="22"/>
      <c r="I149" s="22"/>
      <c r="J149" s="22"/>
    </row>
    <row r="150" spans="1:10" x14ac:dyDescent="0.25">
      <c r="A150" s="26">
        <v>149</v>
      </c>
      <c r="B150" s="22"/>
      <c r="C150" s="22"/>
      <c r="D150" s="22"/>
      <c r="E150" s="22"/>
      <c r="F150" s="22"/>
      <c r="G150" s="22"/>
      <c r="H150" s="22"/>
      <c r="I150" s="22"/>
      <c r="J150" s="22"/>
    </row>
    <row r="151" spans="1:10" x14ac:dyDescent="0.25">
      <c r="A151" s="26">
        <v>150</v>
      </c>
      <c r="B151" s="22"/>
      <c r="C151" s="22"/>
      <c r="D151" s="22"/>
      <c r="E151" s="22"/>
      <c r="F151" s="22"/>
      <c r="G151" s="22"/>
      <c r="H151" s="22"/>
      <c r="I151" s="22"/>
      <c r="J151" s="22"/>
    </row>
    <row r="152" spans="1:10" x14ac:dyDescent="0.25">
      <c r="A152" s="26">
        <v>151</v>
      </c>
      <c r="B152" s="22"/>
      <c r="C152" s="22"/>
      <c r="D152" s="22"/>
      <c r="E152" s="22"/>
      <c r="F152" s="22"/>
      <c r="G152" s="22"/>
      <c r="H152" s="22"/>
      <c r="I152" s="22"/>
      <c r="J152" s="22"/>
    </row>
    <row r="153" spans="1:10" x14ac:dyDescent="0.25">
      <c r="A153" s="26">
        <v>152</v>
      </c>
      <c r="B153" s="22"/>
      <c r="C153" s="22"/>
      <c r="D153" s="22"/>
      <c r="E153" s="22"/>
      <c r="F153" s="22"/>
      <c r="G153" s="22"/>
      <c r="H153" s="22"/>
      <c r="I153" s="22"/>
      <c r="J153" s="22"/>
    </row>
    <row r="154" spans="1:10" x14ac:dyDescent="0.25">
      <c r="A154" s="26">
        <v>153</v>
      </c>
      <c r="B154" s="22"/>
      <c r="C154" s="22"/>
      <c r="D154" s="22"/>
      <c r="E154" s="22"/>
      <c r="F154" s="22"/>
      <c r="G154" s="22"/>
      <c r="H154" s="22"/>
      <c r="I154" s="22"/>
      <c r="J154" s="22"/>
    </row>
    <row r="155" spans="1:10" x14ac:dyDescent="0.25">
      <c r="A155" s="26">
        <v>154</v>
      </c>
      <c r="B155" s="22"/>
      <c r="C155" s="22"/>
      <c r="D155" s="22"/>
      <c r="E155" s="22"/>
      <c r="F155" s="22"/>
      <c r="G155" s="22"/>
      <c r="H155" s="22"/>
      <c r="I155" s="22"/>
      <c r="J155" s="22"/>
    </row>
    <row r="156" spans="1:10" x14ac:dyDescent="0.25">
      <c r="A156" s="26">
        <v>155</v>
      </c>
      <c r="B156" s="22"/>
      <c r="C156" s="22"/>
      <c r="D156" s="22"/>
      <c r="E156" s="22"/>
      <c r="F156" s="22"/>
      <c r="G156" s="22"/>
      <c r="H156" s="22"/>
      <c r="I156" s="22"/>
      <c r="J156" s="22"/>
    </row>
    <row r="157" spans="1:10" x14ac:dyDescent="0.25">
      <c r="A157" s="26">
        <v>156</v>
      </c>
      <c r="B157" s="22"/>
      <c r="C157" s="22"/>
      <c r="D157" s="22"/>
      <c r="E157" s="22"/>
      <c r="F157" s="22"/>
      <c r="G157" s="22"/>
      <c r="H157" s="22"/>
      <c r="I157" s="22"/>
      <c r="J157" s="22"/>
    </row>
    <row r="158" spans="1:10" x14ac:dyDescent="0.25">
      <c r="A158" s="26">
        <v>157</v>
      </c>
      <c r="B158" s="22"/>
      <c r="C158" s="22"/>
      <c r="D158" s="22"/>
      <c r="E158" s="22"/>
      <c r="F158" s="22"/>
      <c r="G158" s="22"/>
      <c r="H158" s="22"/>
      <c r="I158" s="22"/>
      <c r="J158" s="22"/>
    </row>
    <row r="159" spans="1:10" x14ac:dyDescent="0.25">
      <c r="A159" s="26">
        <v>158</v>
      </c>
      <c r="B159" s="22"/>
      <c r="C159" s="22"/>
      <c r="D159" s="22"/>
      <c r="E159" s="22"/>
      <c r="F159" s="22"/>
      <c r="G159" s="22"/>
      <c r="H159" s="22"/>
      <c r="I159" s="22"/>
      <c r="J159" s="22"/>
    </row>
    <row r="160" spans="1:10" x14ac:dyDescent="0.25">
      <c r="A160" s="26">
        <v>159</v>
      </c>
      <c r="B160" s="22"/>
      <c r="C160" s="22"/>
      <c r="D160" s="22"/>
      <c r="E160" s="22"/>
      <c r="F160" s="22"/>
      <c r="G160" s="22"/>
      <c r="H160" s="22"/>
      <c r="I160" s="22"/>
      <c r="J160" s="22"/>
    </row>
    <row r="161" spans="1:10" x14ac:dyDescent="0.25">
      <c r="A161" s="26">
        <v>160</v>
      </c>
      <c r="B161" s="22"/>
      <c r="C161" s="22"/>
      <c r="D161" s="22"/>
      <c r="E161" s="22"/>
      <c r="F161" s="22"/>
      <c r="G161" s="22"/>
      <c r="H161" s="22"/>
      <c r="I161" s="22"/>
      <c r="J161" s="22"/>
    </row>
    <row r="162" spans="1:10" x14ac:dyDescent="0.25">
      <c r="A162" s="26">
        <v>161</v>
      </c>
      <c r="B162" s="22"/>
      <c r="C162" s="22"/>
      <c r="D162" s="22"/>
      <c r="E162" s="22"/>
      <c r="F162" s="22"/>
      <c r="G162" s="22"/>
      <c r="H162" s="22"/>
      <c r="I162" s="22"/>
      <c r="J162" s="22"/>
    </row>
    <row r="163" spans="1:10" x14ac:dyDescent="0.25">
      <c r="A163" s="26">
        <v>162</v>
      </c>
      <c r="B163" s="22"/>
      <c r="C163" s="22"/>
      <c r="D163" s="22"/>
      <c r="E163" s="22"/>
      <c r="F163" s="22"/>
      <c r="G163" s="22"/>
      <c r="H163" s="22"/>
      <c r="I163" s="22"/>
      <c r="J163" s="22"/>
    </row>
    <row r="164" spans="1:10" x14ac:dyDescent="0.25">
      <c r="A164" s="26">
        <v>163</v>
      </c>
      <c r="B164" s="22"/>
      <c r="C164" s="22"/>
      <c r="D164" s="22"/>
      <c r="E164" s="22"/>
      <c r="F164" s="22"/>
      <c r="G164" s="22"/>
      <c r="H164" s="22"/>
      <c r="I164" s="22"/>
      <c r="J164" s="22"/>
    </row>
    <row r="165" spans="1:10" x14ac:dyDescent="0.25">
      <c r="A165" s="26">
        <v>164</v>
      </c>
      <c r="B165" s="22"/>
      <c r="C165" s="22"/>
      <c r="D165" s="22"/>
      <c r="E165" s="22"/>
      <c r="F165" s="22"/>
      <c r="G165" s="22"/>
      <c r="H165" s="22"/>
      <c r="I165" s="22"/>
      <c r="J165" s="22"/>
    </row>
    <row r="166" spans="1:10" x14ac:dyDescent="0.25">
      <c r="A166" s="26">
        <v>165</v>
      </c>
      <c r="B166" s="22"/>
      <c r="C166" s="22"/>
      <c r="D166" s="22"/>
      <c r="E166" s="22"/>
      <c r="F166" s="22"/>
      <c r="G166" s="22"/>
      <c r="H166" s="22"/>
      <c r="I166" s="22"/>
      <c r="J166" s="22"/>
    </row>
    <row r="167" spans="1:10" x14ac:dyDescent="0.25">
      <c r="A167" s="26">
        <v>166</v>
      </c>
      <c r="B167" s="22"/>
      <c r="C167" s="22"/>
      <c r="D167" s="22"/>
      <c r="E167" s="22"/>
      <c r="F167" s="22"/>
      <c r="G167" s="22"/>
      <c r="H167" s="22"/>
      <c r="I167" s="22"/>
      <c r="J167" s="22"/>
    </row>
    <row r="168" spans="1:10" x14ac:dyDescent="0.25">
      <c r="A168" s="26">
        <v>167</v>
      </c>
      <c r="B168" s="22"/>
      <c r="C168" s="22"/>
      <c r="D168" s="22"/>
      <c r="E168" s="22"/>
      <c r="F168" s="22"/>
      <c r="G168" s="22"/>
      <c r="H168" s="22"/>
      <c r="I168" s="22"/>
      <c r="J168" s="22"/>
    </row>
    <row r="169" spans="1:10" x14ac:dyDescent="0.25">
      <c r="A169" s="26">
        <v>168</v>
      </c>
      <c r="B169" s="22"/>
      <c r="C169" s="22"/>
      <c r="D169" s="22"/>
      <c r="E169" s="22"/>
      <c r="F169" s="22"/>
      <c r="G169" s="22"/>
      <c r="H169" s="22"/>
      <c r="I169" s="22"/>
      <c r="J169" s="22"/>
    </row>
    <row r="170" spans="1:10" x14ac:dyDescent="0.25">
      <c r="A170" s="26">
        <v>169</v>
      </c>
      <c r="B170" s="22"/>
      <c r="C170" s="22"/>
      <c r="D170" s="22"/>
      <c r="E170" s="22"/>
      <c r="F170" s="22"/>
      <c r="G170" s="22"/>
      <c r="H170" s="22"/>
      <c r="I170" s="22"/>
      <c r="J170" s="22"/>
    </row>
    <row r="171" spans="1:10" x14ac:dyDescent="0.25">
      <c r="A171" s="26">
        <v>170</v>
      </c>
      <c r="B171" s="22"/>
      <c r="C171" s="22"/>
      <c r="D171" s="22"/>
      <c r="E171" s="22"/>
      <c r="F171" s="22"/>
      <c r="G171" s="22"/>
      <c r="H171" s="22"/>
      <c r="I171" s="22"/>
      <c r="J171" s="22"/>
    </row>
    <row r="172" spans="1:10" x14ac:dyDescent="0.25">
      <c r="A172" s="26">
        <v>171</v>
      </c>
      <c r="B172" s="22"/>
      <c r="C172" s="22"/>
      <c r="D172" s="22"/>
      <c r="E172" s="22"/>
      <c r="F172" s="22"/>
      <c r="G172" s="22"/>
      <c r="H172" s="22"/>
      <c r="I172" s="22"/>
      <c r="J172" s="22"/>
    </row>
    <row r="173" spans="1:10" x14ac:dyDescent="0.25">
      <c r="A173" s="26">
        <v>172</v>
      </c>
      <c r="B173" s="22"/>
      <c r="C173" s="22"/>
      <c r="D173" s="22"/>
      <c r="E173" s="22"/>
      <c r="F173" s="22"/>
      <c r="G173" s="22"/>
      <c r="H173" s="22"/>
      <c r="I173" s="22"/>
      <c r="J173" s="22"/>
    </row>
    <row r="174" spans="1:10" x14ac:dyDescent="0.25">
      <c r="A174" s="26">
        <v>173</v>
      </c>
      <c r="B174" s="22"/>
      <c r="C174" s="22"/>
      <c r="D174" s="22"/>
      <c r="E174" s="22"/>
      <c r="F174" s="22"/>
      <c r="G174" s="22"/>
      <c r="H174" s="22"/>
      <c r="I174" s="22"/>
      <c r="J174" s="22"/>
    </row>
    <row r="175" spans="1:10" x14ac:dyDescent="0.25">
      <c r="A175" s="26">
        <v>174</v>
      </c>
      <c r="B175" s="22"/>
      <c r="C175" s="22"/>
      <c r="D175" s="22"/>
      <c r="E175" s="22"/>
      <c r="F175" s="22"/>
      <c r="G175" s="22"/>
      <c r="H175" s="22"/>
      <c r="I175" s="22"/>
      <c r="J175" s="22"/>
    </row>
    <row r="176" spans="1:10" x14ac:dyDescent="0.25">
      <c r="A176" s="26">
        <v>175</v>
      </c>
      <c r="B176" s="22"/>
      <c r="C176" s="22"/>
      <c r="D176" s="22"/>
      <c r="E176" s="22"/>
      <c r="F176" s="22"/>
      <c r="G176" s="22"/>
      <c r="H176" s="22"/>
      <c r="I176" s="22"/>
      <c r="J176" s="22"/>
    </row>
    <row r="177" spans="1:10" x14ac:dyDescent="0.25">
      <c r="A177" s="26">
        <v>176</v>
      </c>
      <c r="B177" s="22"/>
      <c r="C177" s="22"/>
      <c r="D177" s="22"/>
      <c r="E177" s="22"/>
      <c r="F177" s="22"/>
      <c r="G177" s="22"/>
      <c r="H177" s="22"/>
      <c r="I177" s="22"/>
      <c r="J177" s="22"/>
    </row>
    <row r="178" spans="1:10" x14ac:dyDescent="0.25">
      <c r="A178" s="26">
        <v>177</v>
      </c>
      <c r="B178" s="22"/>
      <c r="C178" s="22"/>
      <c r="D178" s="22"/>
      <c r="E178" s="22"/>
      <c r="F178" s="22"/>
      <c r="G178" s="22"/>
      <c r="H178" s="22"/>
      <c r="I178" s="22"/>
      <c r="J178" s="22"/>
    </row>
    <row r="179" spans="1:10" x14ac:dyDescent="0.25">
      <c r="A179" s="26">
        <v>178</v>
      </c>
      <c r="B179" s="22"/>
      <c r="C179" s="22"/>
      <c r="D179" s="22"/>
      <c r="E179" s="22"/>
      <c r="F179" s="22"/>
      <c r="G179" s="22"/>
      <c r="H179" s="22"/>
      <c r="I179" s="22"/>
      <c r="J179" s="22"/>
    </row>
    <row r="180" spans="1:10" x14ac:dyDescent="0.25">
      <c r="A180" s="26">
        <v>179</v>
      </c>
      <c r="B180" s="22"/>
      <c r="C180" s="22"/>
      <c r="D180" s="22"/>
      <c r="E180" s="22"/>
      <c r="F180" s="22"/>
      <c r="G180" s="22"/>
      <c r="H180" s="22"/>
      <c r="I180" s="22"/>
      <c r="J180" s="22"/>
    </row>
    <row r="181" spans="1:10" x14ac:dyDescent="0.25">
      <c r="A181" s="26">
        <v>180</v>
      </c>
      <c r="B181" s="22"/>
      <c r="C181" s="22"/>
      <c r="D181" s="22"/>
      <c r="E181" s="22"/>
      <c r="F181" s="22"/>
      <c r="G181" s="22"/>
      <c r="H181" s="22"/>
      <c r="I181" s="22"/>
      <c r="J181" s="22"/>
    </row>
    <row r="182" spans="1:10" x14ac:dyDescent="0.25">
      <c r="A182" s="26">
        <v>181</v>
      </c>
      <c r="B182" s="22"/>
      <c r="C182" s="22"/>
      <c r="D182" s="22"/>
      <c r="E182" s="22"/>
      <c r="F182" s="22"/>
      <c r="G182" s="22"/>
      <c r="H182" s="22"/>
      <c r="I182" s="22"/>
      <c r="J182" s="22"/>
    </row>
    <row r="183" spans="1:10" x14ac:dyDescent="0.25">
      <c r="A183" s="26">
        <v>182</v>
      </c>
      <c r="B183" s="22"/>
      <c r="C183" s="22"/>
      <c r="D183" s="22"/>
      <c r="E183" s="22"/>
      <c r="F183" s="22"/>
      <c r="G183" s="22"/>
      <c r="H183" s="22"/>
      <c r="I183" s="22"/>
      <c r="J183" s="22"/>
    </row>
    <row r="184" spans="1:10" x14ac:dyDescent="0.25">
      <c r="A184" s="26">
        <v>183</v>
      </c>
      <c r="B184" s="22"/>
      <c r="C184" s="22"/>
      <c r="D184" s="22"/>
      <c r="E184" s="22"/>
      <c r="F184" s="22"/>
      <c r="G184" s="22"/>
      <c r="H184" s="22"/>
      <c r="I184" s="22"/>
      <c r="J184" s="22"/>
    </row>
    <row r="185" spans="1:10" x14ac:dyDescent="0.25">
      <c r="A185" s="26">
        <v>184</v>
      </c>
      <c r="B185" s="22"/>
      <c r="C185" s="22"/>
      <c r="D185" s="22"/>
      <c r="E185" s="22"/>
      <c r="F185" s="22"/>
      <c r="G185" s="22"/>
      <c r="H185" s="22"/>
      <c r="I185" s="22"/>
      <c r="J185" s="22"/>
    </row>
    <row r="186" spans="1:10" x14ac:dyDescent="0.25">
      <c r="A186" s="26">
        <v>185</v>
      </c>
      <c r="B186" s="22"/>
      <c r="C186" s="22"/>
      <c r="D186" s="22"/>
      <c r="E186" s="22"/>
      <c r="F186" s="22"/>
      <c r="G186" s="22"/>
      <c r="H186" s="22"/>
      <c r="I186" s="22"/>
      <c r="J186" s="22"/>
    </row>
    <row r="187" spans="1:10" x14ac:dyDescent="0.25">
      <c r="A187" s="26">
        <v>186</v>
      </c>
      <c r="B187" s="22"/>
      <c r="C187" s="22"/>
      <c r="D187" s="22"/>
      <c r="E187" s="22"/>
      <c r="F187" s="22"/>
      <c r="G187" s="22"/>
      <c r="H187" s="22"/>
      <c r="I187" s="22"/>
      <c r="J187" s="22"/>
    </row>
    <row r="188" spans="1:10" x14ac:dyDescent="0.25">
      <c r="A188" s="26">
        <v>187</v>
      </c>
      <c r="B188" s="22"/>
      <c r="C188" s="22"/>
      <c r="D188" s="22"/>
      <c r="E188" s="22"/>
      <c r="F188" s="22"/>
      <c r="G188" s="22"/>
      <c r="H188" s="22"/>
      <c r="I188" s="22"/>
      <c r="J188" s="22"/>
    </row>
    <row r="189" spans="1:10" x14ac:dyDescent="0.25">
      <c r="A189" s="26">
        <v>188</v>
      </c>
      <c r="B189" s="22"/>
      <c r="C189" s="22"/>
      <c r="D189" s="22"/>
      <c r="E189" s="22"/>
      <c r="F189" s="22"/>
      <c r="G189" s="22"/>
      <c r="H189" s="22"/>
      <c r="I189" s="22"/>
      <c r="J189" s="22"/>
    </row>
    <row r="190" spans="1:10" x14ac:dyDescent="0.25">
      <c r="A190" s="26">
        <v>189</v>
      </c>
      <c r="B190" s="22"/>
      <c r="C190" s="22"/>
      <c r="D190" s="22"/>
      <c r="E190" s="22"/>
      <c r="F190" s="22"/>
      <c r="G190" s="22"/>
      <c r="H190" s="22"/>
      <c r="I190" s="22"/>
      <c r="J190" s="22"/>
    </row>
    <row r="191" spans="1:10" x14ac:dyDescent="0.25">
      <c r="A191" s="26">
        <v>190</v>
      </c>
      <c r="B191" s="22"/>
      <c r="C191" s="22"/>
      <c r="D191" s="22"/>
      <c r="E191" s="22"/>
      <c r="F191" s="22"/>
      <c r="G191" s="22"/>
      <c r="H191" s="22"/>
      <c r="I191" s="22"/>
      <c r="J191" s="22"/>
    </row>
    <row r="192" spans="1:10" x14ac:dyDescent="0.25">
      <c r="A192" s="26">
        <v>191</v>
      </c>
      <c r="B192" s="22"/>
      <c r="C192" s="22"/>
      <c r="D192" s="22"/>
      <c r="E192" s="22"/>
      <c r="F192" s="22"/>
      <c r="G192" s="22"/>
      <c r="H192" s="22"/>
      <c r="I192" s="22"/>
      <c r="J192" s="22"/>
    </row>
    <row r="193" spans="1:10" x14ac:dyDescent="0.25">
      <c r="A193" s="26">
        <v>192</v>
      </c>
      <c r="B193" s="22"/>
      <c r="C193" s="22"/>
      <c r="D193" s="22"/>
      <c r="E193" s="22"/>
      <c r="F193" s="22"/>
      <c r="G193" s="22"/>
      <c r="H193" s="22"/>
      <c r="I193" s="22"/>
      <c r="J193" s="22"/>
    </row>
    <row r="194" spans="1:10" x14ac:dyDescent="0.25">
      <c r="A194" s="26">
        <v>193</v>
      </c>
      <c r="B194" s="22"/>
      <c r="C194" s="22"/>
      <c r="D194" s="22"/>
      <c r="E194" s="22"/>
      <c r="F194" s="22"/>
      <c r="G194" s="22"/>
      <c r="H194" s="22"/>
      <c r="I194" s="22"/>
      <c r="J194" s="22"/>
    </row>
    <row r="195" spans="1:10" x14ac:dyDescent="0.25">
      <c r="A195" s="26">
        <v>194</v>
      </c>
      <c r="B195" s="22"/>
      <c r="C195" s="22"/>
      <c r="D195" s="22"/>
      <c r="E195" s="22"/>
      <c r="F195" s="22"/>
      <c r="G195" s="22"/>
      <c r="H195" s="22"/>
      <c r="I195" s="22"/>
      <c r="J195" s="22"/>
    </row>
    <row r="196" spans="1:10" x14ac:dyDescent="0.25">
      <c r="A196" s="26">
        <v>195</v>
      </c>
      <c r="B196" s="22"/>
      <c r="C196" s="22"/>
      <c r="D196" s="22"/>
      <c r="E196" s="22"/>
      <c r="F196" s="22"/>
      <c r="G196" s="22"/>
      <c r="H196" s="22"/>
      <c r="I196" s="22"/>
      <c r="J196" s="22"/>
    </row>
    <row r="197" spans="1:10" x14ac:dyDescent="0.25">
      <c r="A197" s="26">
        <v>196</v>
      </c>
      <c r="B197" s="22"/>
      <c r="C197" s="22"/>
      <c r="D197" s="22"/>
      <c r="E197" s="22"/>
      <c r="F197" s="22"/>
      <c r="G197" s="22"/>
      <c r="H197" s="22"/>
      <c r="I197" s="22"/>
      <c r="J197" s="22"/>
    </row>
    <row r="198" spans="1:10" x14ac:dyDescent="0.25">
      <c r="A198" s="26">
        <v>197</v>
      </c>
      <c r="B198" s="22"/>
      <c r="C198" s="22"/>
      <c r="D198" s="22"/>
      <c r="E198" s="22"/>
      <c r="F198" s="22"/>
      <c r="G198" s="22"/>
      <c r="H198" s="22"/>
      <c r="I198" s="22"/>
      <c r="J198" s="22"/>
    </row>
    <row r="199" spans="1:10" x14ac:dyDescent="0.25">
      <c r="A199" s="26">
        <v>198</v>
      </c>
      <c r="B199" s="22"/>
      <c r="C199" s="22"/>
      <c r="D199" s="22"/>
      <c r="E199" s="22"/>
      <c r="F199" s="22"/>
      <c r="G199" s="22"/>
      <c r="H199" s="22"/>
      <c r="I199" s="22"/>
      <c r="J199" s="22"/>
    </row>
    <row r="200" spans="1:10" x14ac:dyDescent="0.25">
      <c r="A200" s="26">
        <v>199</v>
      </c>
      <c r="B200" s="22"/>
      <c r="C200" s="22"/>
      <c r="D200" s="22"/>
      <c r="E200" s="22"/>
      <c r="F200" s="22"/>
      <c r="G200" s="22"/>
      <c r="H200" s="22"/>
      <c r="I200" s="22"/>
      <c r="J200" s="22"/>
    </row>
    <row r="201" spans="1:10" x14ac:dyDescent="0.25">
      <c r="A201" s="26">
        <v>200</v>
      </c>
      <c r="B201" s="22"/>
      <c r="C201" s="22"/>
      <c r="D201" s="22"/>
      <c r="E201" s="22"/>
      <c r="F201" s="22"/>
      <c r="G201" s="22"/>
      <c r="H201" s="22"/>
      <c r="I201" s="22"/>
      <c r="J201" s="22"/>
    </row>
    <row r="202" spans="1:10" x14ac:dyDescent="0.25">
      <c r="A202" s="26">
        <v>201</v>
      </c>
      <c r="B202" s="22"/>
      <c r="C202" s="22"/>
      <c r="D202" s="22"/>
      <c r="E202" s="22"/>
      <c r="F202" s="22"/>
      <c r="G202" s="22"/>
      <c r="H202" s="22"/>
      <c r="I202" s="22"/>
      <c r="J202" s="22"/>
    </row>
    <row r="203" spans="1:10" x14ac:dyDescent="0.25">
      <c r="A203" s="26">
        <v>202</v>
      </c>
      <c r="B203" s="22"/>
      <c r="C203" s="22"/>
      <c r="D203" s="22"/>
      <c r="E203" s="22"/>
      <c r="F203" s="22"/>
      <c r="G203" s="22"/>
      <c r="H203" s="22"/>
      <c r="I203" s="22"/>
      <c r="J203" s="22"/>
    </row>
    <row r="204" spans="1:10" x14ac:dyDescent="0.25">
      <c r="A204" s="26">
        <v>203</v>
      </c>
      <c r="B204" s="22"/>
      <c r="C204" s="22"/>
      <c r="D204" s="22"/>
      <c r="E204" s="22"/>
      <c r="F204" s="22"/>
      <c r="G204" s="22"/>
      <c r="H204" s="22"/>
      <c r="I204" s="22"/>
      <c r="J204" s="22"/>
    </row>
    <row r="205" spans="1:10" x14ac:dyDescent="0.25">
      <c r="A205" s="26">
        <v>204</v>
      </c>
      <c r="B205" s="22"/>
      <c r="C205" s="22"/>
      <c r="D205" s="22"/>
      <c r="E205" s="22"/>
      <c r="F205" s="22"/>
      <c r="G205" s="22"/>
      <c r="H205" s="22"/>
      <c r="I205" s="22"/>
      <c r="J205" s="22"/>
    </row>
    <row r="206" spans="1:10" x14ac:dyDescent="0.25">
      <c r="A206" s="26">
        <v>205</v>
      </c>
      <c r="B206" s="22"/>
      <c r="C206" s="22"/>
      <c r="D206" s="22"/>
      <c r="E206" s="22"/>
      <c r="F206" s="22"/>
      <c r="G206" s="22"/>
      <c r="H206" s="22"/>
      <c r="I206" s="22"/>
      <c r="J206" s="22"/>
    </row>
    <row r="207" spans="1:10" x14ac:dyDescent="0.25">
      <c r="A207" s="26">
        <v>206</v>
      </c>
      <c r="B207" s="22"/>
      <c r="C207" s="22"/>
      <c r="D207" s="22"/>
      <c r="E207" s="22"/>
      <c r="F207" s="22"/>
      <c r="G207" s="22"/>
      <c r="H207" s="22"/>
      <c r="I207" s="22"/>
      <c r="J207" s="22"/>
    </row>
    <row r="208" spans="1:10" x14ac:dyDescent="0.25">
      <c r="A208" s="26">
        <v>207</v>
      </c>
      <c r="B208" s="22"/>
      <c r="C208" s="22"/>
      <c r="D208" s="22"/>
      <c r="E208" s="22"/>
      <c r="F208" s="22"/>
      <c r="G208" s="22"/>
      <c r="H208" s="22"/>
      <c r="I208" s="22"/>
      <c r="J208" s="22"/>
    </row>
    <row r="209" spans="1:64" x14ac:dyDescent="0.25">
      <c r="A209" s="26">
        <v>208</v>
      </c>
      <c r="B209" s="22"/>
      <c r="C209" s="22"/>
      <c r="D209" s="22"/>
      <c r="E209" s="22"/>
      <c r="F209" s="22"/>
      <c r="G209" s="22"/>
      <c r="H209" s="22"/>
      <c r="I209" s="22"/>
      <c r="J209" s="22"/>
    </row>
    <row r="210" spans="1:64" x14ac:dyDescent="0.25">
      <c r="A210" s="26">
        <v>209</v>
      </c>
      <c r="B210" s="22"/>
      <c r="C210" s="22"/>
      <c r="D210" s="22"/>
      <c r="E210" s="22"/>
      <c r="F210" s="22"/>
      <c r="G210" s="22"/>
      <c r="H210" s="22"/>
      <c r="I210" s="22"/>
      <c r="J210" s="22"/>
    </row>
    <row r="211" spans="1:64" x14ac:dyDescent="0.25">
      <c r="A211" s="26">
        <v>210</v>
      </c>
      <c r="B211" s="22"/>
      <c r="C211" s="22"/>
      <c r="D211" s="22"/>
      <c r="E211" s="22"/>
      <c r="F211" s="22"/>
      <c r="G211" s="22"/>
      <c r="H211" s="22"/>
      <c r="I211" s="22"/>
      <c r="J211" s="22"/>
    </row>
    <row r="212" spans="1:64" x14ac:dyDescent="0.25">
      <c r="A212" s="26">
        <v>211</v>
      </c>
      <c r="B212" s="22"/>
      <c r="C212" s="22"/>
      <c r="D212" s="22"/>
      <c r="E212" s="22"/>
      <c r="F212" s="22"/>
      <c r="G212" s="22"/>
      <c r="H212" s="22"/>
      <c r="I212" s="22"/>
      <c r="J212" s="22"/>
    </row>
    <row r="213" spans="1:64" x14ac:dyDescent="0.25">
      <c r="A213" s="26">
        <v>212</v>
      </c>
      <c r="B213" s="22"/>
      <c r="C213" s="22"/>
      <c r="D213" s="22"/>
      <c r="E213" s="22"/>
      <c r="F213" s="22"/>
      <c r="G213" s="22"/>
      <c r="H213" s="22"/>
      <c r="I213" s="22"/>
      <c r="J213" s="22"/>
    </row>
    <row r="214" spans="1:64" x14ac:dyDescent="0.25">
      <c r="A214" s="26">
        <v>213</v>
      </c>
      <c r="B214" s="22"/>
      <c r="C214" s="22"/>
      <c r="D214" s="22"/>
      <c r="E214" s="22"/>
      <c r="F214" s="22"/>
      <c r="G214" s="22"/>
      <c r="H214" s="22"/>
      <c r="I214" s="22"/>
      <c r="J214" s="22"/>
    </row>
    <row r="215" spans="1:64" x14ac:dyDescent="0.25">
      <c r="A215" s="26">
        <v>214</v>
      </c>
      <c r="B215" s="22"/>
      <c r="C215" s="22"/>
      <c r="D215" s="22"/>
      <c r="E215" s="22"/>
      <c r="F215" s="22"/>
      <c r="G215" s="22"/>
      <c r="H215" s="22"/>
      <c r="I215" s="22"/>
      <c r="J215" s="22"/>
    </row>
    <row r="216" spans="1:64" x14ac:dyDescent="0.25">
      <c r="A216" s="26">
        <v>215</v>
      </c>
      <c r="B216" s="22"/>
      <c r="C216" s="22"/>
      <c r="D216" s="22"/>
      <c r="E216" s="22"/>
      <c r="F216" s="22"/>
      <c r="G216" s="22"/>
      <c r="H216" s="22"/>
      <c r="I216" s="22"/>
      <c r="J216" s="22"/>
    </row>
    <row r="217" spans="1:64" x14ac:dyDescent="0.25">
      <c r="A217" s="26">
        <v>216</v>
      </c>
      <c r="B217" s="22"/>
      <c r="C217" s="22"/>
      <c r="D217" s="22"/>
      <c r="E217" s="22"/>
      <c r="F217" s="22"/>
      <c r="G217" s="22"/>
      <c r="H217" s="22"/>
      <c r="I217" s="22"/>
      <c r="J217" s="22"/>
    </row>
    <row r="218" spans="1:64" x14ac:dyDescent="0.25">
      <c r="A218" s="26">
        <v>217</v>
      </c>
      <c r="B218" s="22"/>
      <c r="C218" s="22"/>
      <c r="D218" s="22"/>
      <c r="E218" s="22"/>
      <c r="F218" s="22"/>
      <c r="G218" s="22"/>
      <c r="H218" s="22"/>
      <c r="I218" s="22"/>
      <c r="J218" s="22"/>
    </row>
    <row r="219" spans="1:64" x14ac:dyDescent="0.25">
      <c r="A219" s="26">
        <v>218</v>
      </c>
      <c r="B219" s="22"/>
      <c r="C219" s="22"/>
      <c r="D219" s="22"/>
      <c r="E219" s="22"/>
      <c r="F219" s="22"/>
      <c r="G219" s="22"/>
      <c r="H219" s="22"/>
      <c r="I219" s="22"/>
      <c r="J219" s="22"/>
    </row>
    <row r="220" spans="1:64" x14ac:dyDescent="0.25">
      <c r="E220" s="70"/>
      <c r="F220" s="70"/>
    </row>
    <row r="221" spans="1:64" ht="15.75" x14ac:dyDescent="0.25">
      <c r="N221" s="28" t="s">
        <v>34</v>
      </c>
      <c r="O221" s="28" t="s">
        <v>31</v>
      </c>
      <c r="P221" s="28" t="s">
        <v>32</v>
      </c>
      <c r="Q221" s="28" t="s">
        <v>33</v>
      </c>
      <c r="R221" s="28" t="s">
        <v>35</v>
      </c>
      <c r="S221" s="28" t="s">
        <v>31</v>
      </c>
      <c r="T221" s="28" t="s">
        <v>32</v>
      </c>
      <c r="U221" s="28" t="s">
        <v>33</v>
      </c>
      <c r="V221" s="28" t="s">
        <v>36</v>
      </c>
      <c r="W221" s="28" t="s">
        <v>31</v>
      </c>
      <c r="X221" s="28" t="s">
        <v>32</v>
      </c>
      <c r="Y221" s="28" t="s">
        <v>33</v>
      </c>
      <c r="Z221" s="28" t="s">
        <v>37</v>
      </c>
      <c r="AA221" s="28" t="s">
        <v>31</v>
      </c>
      <c r="AB221" s="28" t="s">
        <v>32</v>
      </c>
      <c r="AC221" s="28" t="s">
        <v>33</v>
      </c>
      <c r="AD221" s="28" t="s">
        <v>38</v>
      </c>
      <c r="AE221" s="28" t="s">
        <v>31</v>
      </c>
      <c r="AF221" s="28" t="s">
        <v>32</v>
      </c>
      <c r="AG221" s="28" t="s">
        <v>33</v>
      </c>
      <c r="AH221" s="28" t="s">
        <v>39</v>
      </c>
      <c r="AI221" s="28" t="s">
        <v>31</v>
      </c>
      <c r="AJ221" s="28" t="s">
        <v>32</v>
      </c>
      <c r="AK221" s="28" t="s">
        <v>33</v>
      </c>
      <c r="AL221" s="28" t="s">
        <v>40</v>
      </c>
      <c r="AM221" s="28" t="s">
        <v>31</v>
      </c>
      <c r="AN221" s="28" t="s">
        <v>32</v>
      </c>
      <c r="AO221" s="28" t="s">
        <v>33</v>
      </c>
      <c r="AP221" s="28" t="s">
        <v>41</v>
      </c>
      <c r="AQ221" s="28" t="s">
        <v>31</v>
      </c>
      <c r="AR221" s="28" t="s">
        <v>32</v>
      </c>
      <c r="AS221" s="28" t="s">
        <v>33</v>
      </c>
      <c r="AT221" s="28" t="s">
        <v>42</v>
      </c>
      <c r="AU221" s="28" t="s">
        <v>31</v>
      </c>
      <c r="AV221" s="28" t="s">
        <v>32</v>
      </c>
      <c r="AW221" s="28" t="s">
        <v>33</v>
      </c>
      <c r="AX221" s="28" t="s">
        <v>43</v>
      </c>
      <c r="AY221" s="28" t="s">
        <v>31</v>
      </c>
      <c r="AZ221" s="28" t="s">
        <v>32</v>
      </c>
      <c r="BA221" s="28" t="s">
        <v>33</v>
      </c>
      <c r="BB221" s="28" t="s">
        <v>44</v>
      </c>
      <c r="BC221" s="28" t="s">
        <v>31</v>
      </c>
      <c r="BD221" s="28" t="s">
        <v>32</v>
      </c>
      <c r="BE221" s="28" t="s">
        <v>33</v>
      </c>
      <c r="BF221" s="28" t="s">
        <v>45</v>
      </c>
      <c r="BG221" s="28" t="s">
        <v>31</v>
      </c>
      <c r="BH221" s="28" t="s">
        <v>32</v>
      </c>
      <c r="BI221" s="28" t="s">
        <v>33</v>
      </c>
      <c r="BJ221" s="28" t="s">
        <v>46</v>
      </c>
      <c r="BK221" s="28" t="s">
        <v>47</v>
      </c>
      <c r="BL221" s="28" t="s">
        <v>48</v>
      </c>
    </row>
    <row r="222" spans="1:64" ht="15.75" x14ac:dyDescent="0.25">
      <c r="E222" s="70"/>
      <c r="F222" s="70"/>
      <c r="N222" s="23"/>
      <c r="O222" s="29">
        <f>COUNTIFS($C$2:$C$219,"GRADE 1",$D$2:$D$219,"MALE")</f>
        <v>0</v>
      </c>
      <c r="P222" s="30">
        <f>COUNTIFS($C$2:$C$219,"GRADE 1",$D$2:$D$219,"FEMALE")</f>
        <v>0</v>
      </c>
      <c r="Q222" s="59">
        <f>SUM(O222:P222)</f>
        <v>0</v>
      </c>
      <c r="R222" s="58"/>
      <c r="S222" s="29">
        <f>COUNTIFS($C$2:$C$219,"GRADE 2",$D$2:$D$219,"MALE")</f>
        <v>0</v>
      </c>
      <c r="T222" s="30">
        <f>COUNTIFS($C$2:$C$219,"GRADE 2",$D$2:$D$219,"FEMALE")</f>
        <v>0</v>
      </c>
      <c r="U222" s="59">
        <f>SUM(S222:T222)</f>
        <v>0</v>
      </c>
      <c r="V222" s="58"/>
      <c r="W222" s="29">
        <f>COUNTIFS($C$2:$C$219,"GRADE 3",$D$2:$D$219,"MALE")</f>
        <v>0</v>
      </c>
      <c r="X222" s="30">
        <f>COUNTIFS($C$2:$C$219,"GRADE 3",$D$2:$D$219,"FEMALE")</f>
        <v>0</v>
      </c>
      <c r="Y222" s="59">
        <f>SUM(W222:X222)</f>
        <v>0</v>
      </c>
      <c r="Z222" s="58"/>
      <c r="AA222" s="29">
        <f>COUNTIFS($C$2:$C$219,"GRADE 4",$D$2:$D$219,"MALE")</f>
        <v>1</v>
      </c>
      <c r="AB222" s="30">
        <f>COUNTIFS($C$2:$C$219,"GRADE 4",$D$2:$D$219,"FEMALE")</f>
        <v>0</v>
      </c>
      <c r="AC222" s="59">
        <f>SUM(AA222:AB222)</f>
        <v>1</v>
      </c>
      <c r="AD222" s="58"/>
      <c r="AE222" s="29">
        <f>COUNTIFS($C$2:$C$219,"GRADE 5",$D$2:$D$219,"MALE")</f>
        <v>0</v>
      </c>
      <c r="AF222" s="30">
        <f>COUNTIFS($C$2:$C$219,"GRADE 5",$D$2:$D$219,"FEMALE")</f>
        <v>0</v>
      </c>
      <c r="AG222" s="59">
        <f>SUM(AE222:AF222)</f>
        <v>0</v>
      </c>
      <c r="AH222" s="58"/>
      <c r="AI222" s="29">
        <f>COUNTIFS($C$2:$C$219,"GRADE 6",$D$2:$D$219,"MALE")</f>
        <v>0</v>
      </c>
      <c r="AJ222" s="30">
        <f>COUNTIFS($C$2:$C$219,"GRADE 6",$D$2:$D$219,"FEMALE")</f>
        <v>0</v>
      </c>
      <c r="AK222" s="59">
        <f>SUM(AI222:AJ222)</f>
        <v>0</v>
      </c>
      <c r="AL222" s="58"/>
      <c r="AM222" s="29">
        <f>COUNTIFS($C$2:$C$219,"GRADE 7",$D$2:$D$219,"MALE")</f>
        <v>0</v>
      </c>
      <c r="AN222" s="30">
        <f>COUNTIFS($C$2:$C$219,"GRADE 7",$D$2:$D$219,"FEMALE")</f>
        <v>0</v>
      </c>
      <c r="AO222" s="59">
        <f>SUM(AM222:AN222)</f>
        <v>0</v>
      </c>
      <c r="AP222" s="58"/>
      <c r="AQ222" s="29">
        <f>COUNTIFS($C$2:$C$219,"GRADE 8",$D$2:$D$219,"MALE")</f>
        <v>0</v>
      </c>
      <c r="AR222" s="30">
        <f>COUNTIFS($C$2:$C$219,"GRADE 8",$D$2:$D$219,"FEMALE")</f>
        <v>0</v>
      </c>
      <c r="AS222" s="59">
        <f>SUM(AQ222:AR222)</f>
        <v>0</v>
      </c>
      <c r="AT222" s="58"/>
      <c r="AU222" s="29">
        <f>COUNTIFS($C$2:$C$219,"GRADE 9",$D$2:$D$219,"MALE")</f>
        <v>0</v>
      </c>
      <c r="AV222" s="30">
        <f>COUNTIFS($C$2:$C$219,"GRADE 9",$D$2:$D$219,"FEMALE")</f>
        <v>0</v>
      </c>
      <c r="AW222" s="59">
        <f>SUM(AU222:AV222)</f>
        <v>0</v>
      </c>
      <c r="AX222" s="58"/>
      <c r="AY222" s="29">
        <f>COUNTIFS($C$2:$C$219,"GRADE 10",$D$2:$D$219,"MALE")</f>
        <v>0</v>
      </c>
      <c r="AZ222" s="30">
        <f>COUNTIFS($C$2:$C$219,"GRADE 10",$D$2:$D$219,"FEMALE")</f>
        <v>0</v>
      </c>
      <c r="BA222" s="59">
        <f>SUM(AY222:AZ222)</f>
        <v>0</v>
      </c>
      <c r="BB222" s="58"/>
      <c r="BC222" s="29">
        <f>COUNTIFS($C$2:$C$219,"GRADE 11",$D$2:$D$219,"MALE")</f>
        <v>0</v>
      </c>
      <c r="BD222" s="30">
        <f>COUNTIFS($C$2:$C$219,"GRADE 11",$D$2:$D$219,"FEMALE")</f>
        <v>0</v>
      </c>
      <c r="BE222" s="59">
        <f>SUM(BC222:BD222)</f>
        <v>0</v>
      </c>
      <c r="BF222" s="58"/>
      <c r="BG222" s="29">
        <f>COUNTIFS($C$2:$C$219,"GRADE 12",$D$2:$D$219,"MALE")</f>
        <v>0</v>
      </c>
      <c r="BH222" s="30">
        <f>COUNTIFS($C$2:$C$219,"GRADE 12",$D$2:$D$219,"FEMALE")</f>
        <v>0</v>
      </c>
      <c r="BI222" s="59">
        <f>SUM(BG222:BH222)</f>
        <v>0</v>
      </c>
      <c r="BJ222" s="29">
        <f>SUMIF(O221:BI221,"MALE",O222:BI222)</f>
        <v>1</v>
      </c>
      <c r="BK222" s="30">
        <f>SUMIF(O221:BI221,"FEMALE",O222:BI222)</f>
        <v>0</v>
      </c>
      <c r="BL222" s="59">
        <f>SUM(BJ222:BK222)</f>
        <v>1</v>
      </c>
    </row>
    <row r="224" spans="1:64" x14ac:dyDescent="0.25">
      <c r="J224" s="70"/>
    </row>
  </sheetData>
  <sheetProtection password="CC3D" sheet="1" objects="1" scenarios="1"/>
  <conditionalFormatting sqref="A2:J219">
    <cfRule type="expression" dxfId="4" priority="1">
      <formula>$C2="ABSENT"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:U30"/>
  <sheetViews>
    <sheetView tabSelected="1" zoomScale="90" zoomScaleNormal="90" workbookViewId="0">
      <selection activeCell="B2" sqref="B2"/>
    </sheetView>
  </sheetViews>
  <sheetFormatPr defaultRowHeight="15" x14ac:dyDescent="0.25"/>
  <cols>
    <col min="1" max="1" width="19.28515625" style="1" customWidth="1"/>
    <col min="2" max="2" width="41.42578125" style="1" customWidth="1"/>
    <col min="3" max="3" width="24.5703125" style="1" customWidth="1"/>
    <col min="4" max="5" width="21.7109375" style="1" customWidth="1"/>
    <col min="6" max="6" width="26.85546875" style="1" customWidth="1"/>
    <col min="7" max="7" width="24.28515625" style="1" customWidth="1"/>
    <col min="8" max="8" width="27" style="1" customWidth="1"/>
    <col min="9" max="9" width="23.5703125" style="1" customWidth="1"/>
    <col min="10" max="10" width="19.5703125" style="1" customWidth="1"/>
    <col min="11" max="11" width="24.7109375" style="1" customWidth="1"/>
    <col min="12" max="12" width="39.85546875" style="1" customWidth="1"/>
    <col min="13" max="13" width="29" style="1" customWidth="1"/>
    <col min="14" max="14" width="23" style="1" customWidth="1"/>
    <col min="15" max="15" width="22.5703125" style="1" customWidth="1"/>
    <col min="16" max="16" width="25.85546875" style="1" customWidth="1"/>
    <col min="17" max="17" width="20.140625" style="1" customWidth="1"/>
    <col min="18" max="19" width="20.28515625" style="1" customWidth="1"/>
    <col min="20" max="20" width="22.5703125" style="1" customWidth="1"/>
    <col min="21" max="21" width="17.85546875" style="1" customWidth="1"/>
    <col min="22" max="16384" width="9.140625" style="1"/>
  </cols>
  <sheetData>
    <row r="1" spans="1:21" ht="63" customHeight="1" x14ac:dyDescent="0.3">
      <c r="A1" s="25" t="s">
        <v>13</v>
      </c>
      <c r="B1" s="25" t="s">
        <v>5</v>
      </c>
      <c r="C1" s="25" t="s">
        <v>51</v>
      </c>
      <c r="D1" s="25" t="s">
        <v>7</v>
      </c>
      <c r="E1" s="25" t="s">
        <v>14</v>
      </c>
      <c r="F1" s="25" t="s">
        <v>15</v>
      </c>
      <c r="G1" s="25" t="s">
        <v>16</v>
      </c>
      <c r="H1" s="25" t="s">
        <v>18</v>
      </c>
      <c r="I1" s="25" t="s">
        <v>17</v>
      </c>
      <c r="J1" s="25" t="s">
        <v>19</v>
      </c>
      <c r="K1" s="25" t="s">
        <v>20</v>
      </c>
      <c r="L1" s="25" t="s">
        <v>21</v>
      </c>
      <c r="M1" s="25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5" t="s">
        <v>12</v>
      </c>
    </row>
    <row r="2" spans="1:21" ht="15.75" x14ac:dyDescent="0.25">
      <c r="A2" s="24">
        <v>1</v>
      </c>
      <c r="B2" s="24" t="s">
        <v>138</v>
      </c>
      <c r="C2" s="24" t="s">
        <v>135</v>
      </c>
      <c r="D2" s="24" t="s">
        <v>139</v>
      </c>
      <c r="E2" s="24">
        <v>35546</v>
      </c>
      <c r="F2" s="24" t="s">
        <v>96</v>
      </c>
      <c r="G2" s="24">
        <v>768416766</v>
      </c>
      <c r="H2" s="24">
        <v>555546</v>
      </c>
      <c r="I2" s="24">
        <v>556664</v>
      </c>
      <c r="J2" s="71">
        <v>45143</v>
      </c>
      <c r="K2" s="24" t="s">
        <v>127</v>
      </c>
      <c r="L2" s="24" t="s">
        <v>120</v>
      </c>
      <c r="M2" s="24" t="s">
        <v>140</v>
      </c>
      <c r="N2" s="24" t="s">
        <v>104</v>
      </c>
      <c r="O2" s="24">
        <v>66647</v>
      </c>
      <c r="P2" s="24">
        <v>40000</v>
      </c>
      <c r="Q2" s="24">
        <v>38000</v>
      </c>
      <c r="R2" s="24" t="s">
        <v>141</v>
      </c>
      <c r="S2" s="24" t="s">
        <v>142</v>
      </c>
      <c r="T2" s="24" t="s">
        <v>113</v>
      </c>
      <c r="U2" s="24">
        <v>794884265</v>
      </c>
    </row>
    <row r="3" spans="1:21" ht="15.75" x14ac:dyDescent="0.25">
      <c r="A3" s="24">
        <v>2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</row>
    <row r="4" spans="1:21" ht="15.75" x14ac:dyDescent="0.25">
      <c r="A4" s="24">
        <v>3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</row>
    <row r="5" spans="1:21" ht="15.75" x14ac:dyDescent="0.25">
      <c r="A5" s="24">
        <v>4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</row>
    <row r="6" spans="1:21" ht="15.75" x14ac:dyDescent="0.25">
      <c r="A6" s="24">
        <v>5</v>
      </c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</row>
    <row r="7" spans="1:21" ht="15.75" x14ac:dyDescent="0.25">
      <c r="A7" s="24">
        <v>6</v>
      </c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</row>
    <row r="8" spans="1:21" ht="15.75" x14ac:dyDescent="0.25">
      <c r="A8" s="24">
        <v>7</v>
      </c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</row>
    <row r="9" spans="1:21" ht="15.75" x14ac:dyDescent="0.25">
      <c r="A9" s="24">
        <v>8</v>
      </c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</row>
    <row r="10" spans="1:21" ht="15.75" x14ac:dyDescent="0.25">
      <c r="A10" s="24">
        <v>9</v>
      </c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</row>
    <row r="11" spans="1:21" ht="15.75" x14ac:dyDescent="0.25">
      <c r="A11" s="24">
        <v>10</v>
      </c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</row>
    <row r="12" spans="1:21" ht="15.75" x14ac:dyDescent="0.25">
      <c r="A12" s="24">
        <v>11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</row>
    <row r="13" spans="1:21" ht="15.75" x14ac:dyDescent="0.25">
      <c r="A13" s="24">
        <v>12</v>
      </c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</row>
    <row r="14" spans="1:21" ht="15.75" x14ac:dyDescent="0.25">
      <c r="A14" s="24">
        <v>13</v>
      </c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</row>
    <row r="15" spans="1:21" ht="15.75" x14ac:dyDescent="0.25">
      <c r="A15" s="24">
        <v>14</v>
      </c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</row>
    <row r="16" spans="1:21" ht="15.75" x14ac:dyDescent="0.25">
      <c r="A16" s="24">
        <v>15</v>
      </c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</row>
    <row r="17" spans="1:21" ht="15.75" x14ac:dyDescent="0.25">
      <c r="A17" s="24">
        <v>16</v>
      </c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</row>
    <row r="18" spans="1:21" ht="15.75" x14ac:dyDescent="0.25">
      <c r="A18" s="24">
        <v>17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</row>
    <row r="19" spans="1:21" ht="15.75" x14ac:dyDescent="0.25">
      <c r="A19" s="24">
        <v>18</v>
      </c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</row>
    <row r="20" spans="1:21" ht="15.75" x14ac:dyDescent="0.25">
      <c r="A20" s="24">
        <v>19</v>
      </c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</row>
    <row r="21" spans="1:21" ht="15.75" x14ac:dyDescent="0.25">
      <c r="A21" s="24">
        <v>20</v>
      </c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</row>
    <row r="22" spans="1:21" ht="15.75" x14ac:dyDescent="0.25">
      <c r="A22" s="24">
        <v>21</v>
      </c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</row>
    <row r="23" spans="1:21" ht="15.75" x14ac:dyDescent="0.25">
      <c r="A23" s="24">
        <v>22</v>
      </c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</row>
    <row r="24" spans="1:21" ht="15.75" x14ac:dyDescent="0.25">
      <c r="A24" s="24">
        <v>23</v>
      </c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</row>
    <row r="25" spans="1:21" ht="15.75" x14ac:dyDescent="0.25">
      <c r="A25" s="24">
        <v>24</v>
      </c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</row>
    <row r="26" spans="1:21" ht="15.75" x14ac:dyDescent="0.25">
      <c r="A26" s="24">
        <v>25</v>
      </c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</row>
    <row r="27" spans="1:21" ht="15.75" x14ac:dyDescent="0.25">
      <c r="A27" s="24">
        <v>26</v>
      </c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</row>
    <row r="28" spans="1:21" ht="15.75" x14ac:dyDescent="0.25">
      <c r="A28" s="24">
        <v>27</v>
      </c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</row>
    <row r="29" spans="1:21" ht="15.75" x14ac:dyDescent="0.25">
      <c r="A29" s="24">
        <v>28</v>
      </c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</row>
    <row r="30" spans="1:21" ht="15.75" x14ac:dyDescent="0.25">
      <c r="A30" s="24">
        <v>29</v>
      </c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</row>
  </sheetData>
  <sheetProtection password="CC3D" sheet="1" objects="1" scenarios="1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A1:BK29"/>
  <sheetViews>
    <sheetView zoomScale="70" zoomScaleNormal="70" workbookViewId="0">
      <selection sqref="A1:H1"/>
    </sheetView>
  </sheetViews>
  <sheetFormatPr defaultRowHeight="15" x14ac:dyDescent="0.25"/>
  <cols>
    <col min="11" max="11" width="12" customWidth="1"/>
    <col min="12" max="12" width="12.28515625" customWidth="1"/>
    <col min="13" max="13" width="11.85546875" customWidth="1"/>
    <col min="14" max="14" width="11" customWidth="1"/>
    <col min="15" max="15" width="11.42578125" customWidth="1"/>
    <col min="17" max="17" width="11.85546875" customWidth="1"/>
    <col min="18" max="18" width="11" customWidth="1"/>
    <col min="19" max="19" width="11.42578125" customWidth="1"/>
    <col min="21" max="21" width="11.85546875" customWidth="1"/>
    <col min="22" max="22" width="11" customWidth="1"/>
    <col min="23" max="23" width="11.42578125" customWidth="1"/>
    <col min="25" max="25" width="11.85546875" customWidth="1"/>
    <col min="26" max="26" width="11" customWidth="1"/>
    <col min="27" max="27" width="11.42578125" customWidth="1"/>
    <col min="29" max="29" width="11.85546875" customWidth="1"/>
    <col min="30" max="30" width="11" customWidth="1"/>
    <col min="31" max="31" width="11.42578125" customWidth="1"/>
    <col min="33" max="33" width="11.85546875" customWidth="1"/>
    <col min="34" max="34" width="11" customWidth="1"/>
    <col min="35" max="35" width="11.42578125" customWidth="1"/>
    <col min="37" max="37" width="11.85546875" customWidth="1"/>
    <col min="38" max="38" width="11" customWidth="1"/>
    <col min="39" max="39" width="11.42578125" customWidth="1"/>
    <col min="41" max="41" width="11.85546875" customWidth="1"/>
    <col min="42" max="42" width="11" customWidth="1"/>
    <col min="43" max="43" width="11.42578125" customWidth="1"/>
    <col min="45" max="45" width="11.85546875" customWidth="1"/>
    <col min="46" max="46" width="11" customWidth="1"/>
    <col min="47" max="47" width="11.42578125" customWidth="1"/>
    <col min="49" max="49" width="11.85546875" customWidth="1"/>
    <col min="50" max="50" width="11" customWidth="1"/>
    <col min="51" max="51" width="11.42578125" customWidth="1"/>
    <col min="53" max="53" width="11.85546875" customWidth="1"/>
    <col min="54" max="54" width="11" customWidth="1"/>
    <col min="55" max="55" width="11.42578125" customWidth="1"/>
    <col min="57" max="57" width="11.85546875" customWidth="1"/>
    <col min="58" max="58" width="11" customWidth="1"/>
    <col min="59" max="59" width="11.42578125" customWidth="1"/>
    <col min="61" max="61" width="16.7109375" customWidth="1"/>
    <col min="62" max="63" width="19.7109375" customWidth="1"/>
  </cols>
  <sheetData>
    <row r="1" spans="1:63" ht="22.5" x14ac:dyDescent="0.3">
      <c r="A1" s="87" t="s">
        <v>30</v>
      </c>
      <c r="B1" s="87"/>
      <c r="C1" s="87"/>
      <c r="D1" s="87"/>
      <c r="E1" s="87"/>
      <c r="F1" s="87"/>
      <c r="G1" s="87"/>
      <c r="H1" s="87"/>
      <c r="M1" s="28" t="s">
        <v>34</v>
      </c>
      <c r="N1" s="28" t="s">
        <v>31</v>
      </c>
      <c r="O1" s="28" t="s">
        <v>32</v>
      </c>
      <c r="P1" s="28" t="s">
        <v>33</v>
      </c>
      <c r="Q1" s="28" t="s">
        <v>35</v>
      </c>
      <c r="R1" s="28" t="s">
        <v>31</v>
      </c>
      <c r="S1" s="28" t="s">
        <v>32</v>
      </c>
      <c r="T1" s="28" t="s">
        <v>33</v>
      </c>
      <c r="U1" s="28" t="s">
        <v>36</v>
      </c>
      <c r="V1" s="28" t="s">
        <v>31</v>
      </c>
      <c r="W1" s="28" t="s">
        <v>32</v>
      </c>
      <c r="X1" s="28" t="s">
        <v>33</v>
      </c>
      <c r="Y1" s="28" t="s">
        <v>37</v>
      </c>
      <c r="Z1" s="28" t="s">
        <v>31</v>
      </c>
      <c r="AA1" s="28" t="s">
        <v>32</v>
      </c>
      <c r="AB1" s="28" t="s">
        <v>33</v>
      </c>
      <c r="AC1" s="28" t="s">
        <v>38</v>
      </c>
      <c r="AD1" s="28" t="s">
        <v>31</v>
      </c>
      <c r="AE1" s="28" t="s">
        <v>32</v>
      </c>
      <c r="AF1" s="28" t="s">
        <v>33</v>
      </c>
      <c r="AG1" s="28" t="s">
        <v>39</v>
      </c>
      <c r="AH1" s="28" t="s">
        <v>31</v>
      </c>
      <c r="AI1" s="28" t="s">
        <v>32</v>
      </c>
      <c r="AJ1" s="28" t="s">
        <v>33</v>
      </c>
      <c r="AK1" s="28" t="s">
        <v>40</v>
      </c>
      <c r="AL1" s="28" t="s">
        <v>31</v>
      </c>
      <c r="AM1" s="28" t="s">
        <v>32</v>
      </c>
      <c r="AN1" s="28" t="s">
        <v>33</v>
      </c>
      <c r="AO1" s="28" t="s">
        <v>41</v>
      </c>
      <c r="AP1" s="28" t="s">
        <v>31</v>
      </c>
      <c r="AQ1" s="28" t="s">
        <v>32</v>
      </c>
      <c r="AR1" s="28" t="s">
        <v>33</v>
      </c>
      <c r="AS1" s="28" t="s">
        <v>42</v>
      </c>
      <c r="AT1" s="28" t="s">
        <v>31</v>
      </c>
      <c r="AU1" s="28" t="s">
        <v>32</v>
      </c>
      <c r="AV1" s="28" t="s">
        <v>33</v>
      </c>
      <c r="AW1" s="28" t="s">
        <v>43</v>
      </c>
      <c r="AX1" s="28" t="s">
        <v>31</v>
      </c>
      <c r="AY1" s="28" t="s">
        <v>32</v>
      </c>
      <c r="AZ1" s="28" t="s">
        <v>33</v>
      </c>
      <c r="BA1" s="28" t="s">
        <v>44</v>
      </c>
      <c r="BB1" s="28" t="s">
        <v>31</v>
      </c>
      <c r="BC1" s="28" t="s">
        <v>32</v>
      </c>
      <c r="BD1" s="28" t="s">
        <v>33</v>
      </c>
      <c r="BE1" s="28" t="s">
        <v>45</v>
      </c>
      <c r="BF1" s="28" t="s">
        <v>31</v>
      </c>
      <c r="BG1" s="28" t="s">
        <v>32</v>
      </c>
      <c r="BH1" s="28" t="s">
        <v>33</v>
      </c>
      <c r="BI1" s="28" t="s">
        <v>46</v>
      </c>
      <c r="BJ1" s="28" t="s">
        <v>47</v>
      </c>
      <c r="BK1" s="28" t="s">
        <v>48</v>
      </c>
    </row>
    <row r="2" spans="1:63" ht="15.75" x14ac:dyDescent="0.25">
      <c r="M2" s="23"/>
      <c r="N2" s="29">
        <f>'LEARNERS DETAILS'!O222</f>
        <v>0</v>
      </c>
      <c r="O2" s="30">
        <f>'LEARNERS DETAILS'!P222</f>
        <v>0</v>
      </c>
      <c r="P2" s="31">
        <f>'LEARNERS DETAILS'!Q222</f>
        <v>0</v>
      </c>
      <c r="Q2" s="23"/>
      <c r="R2" s="29">
        <f>'LEARNERS DETAILS'!S222</f>
        <v>0</v>
      </c>
      <c r="S2" s="30">
        <f>'LEARNERS DETAILS'!T222</f>
        <v>0</v>
      </c>
      <c r="T2" s="31">
        <f>'LEARNERS DETAILS'!U222</f>
        <v>0</v>
      </c>
      <c r="U2" s="23"/>
      <c r="V2" s="29">
        <f>'LEARNERS DETAILS'!W222</f>
        <v>0</v>
      </c>
      <c r="W2" s="30">
        <f>'LEARNERS DETAILS'!X222</f>
        <v>0</v>
      </c>
      <c r="X2" s="31">
        <f>'LEARNERS DETAILS'!Y222</f>
        <v>0</v>
      </c>
      <c r="Y2" s="23"/>
      <c r="Z2" s="29">
        <f>'LEARNERS DETAILS'!AA222</f>
        <v>1</v>
      </c>
      <c r="AA2" s="30">
        <f>'LEARNERS DETAILS'!AB222</f>
        <v>0</v>
      </c>
      <c r="AB2" s="31">
        <f>'LEARNERS DETAILS'!AC222</f>
        <v>1</v>
      </c>
      <c r="AC2" s="23"/>
      <c r="AD2" s="29">
        <f>'LEARNERS DETAILS'!AE222</f>
        <v>0</v>
      </c>
      <c r="AE2" s="30">
        <f>'LEARNERS DETAILS'!AF222</f>
        <v>0</v>
      </c>
      <c r="AF2" s="31">
        <f>'LEARNERS DETAILS'!AG222</f>
        <v>0</v>
      </c>
      <c r="AG2" s="23"/>
      <c r="AH2" s="29">
        <f>'LEARNERS DETAILS'!AI222</f>
        <v>0</v>
      </c>
      <c r="AI2" s="30">
        <f>'LEARNERS DETAILS'!AJ222</f>
        <v>0</v>
      </c>
      <c r="AJ2" s="31">
        <f>'LEARNERS DETAILS'!AK222</f>
        <v>0</v>
      </c>
      <c r="AK2" s="23"/>
      <c r="AL2" s="29">
        <f>'LEARNERS DETAILS'!AM222</f>
        <v>0</v>
      </c>
      <c r="AM2" s="30">
        <f>'LEARNERS DETAILS'!AN222</f>
        <v>0</v>
      </c>
      <c r="AN2" s="31">
        <f>'LEARNERS DETAILS'!AO222</f>
        <v>0</v>
      </c>
      <c r="AO2" s="23"/>
      <c r="AP2" s="29">
        <f>'LEARNERS DETAILS'!AQ222</f>
        <v>0</v>
      </c>
      <c r="AQ2" s="30">
        <f>'LEARNERS DETAILS'!AR222</f>
        <v>0</v>
      </c>
      <c r="AR2" s="31">
        <f>'LEARNERS DETAILS'!AS222</f>
        <v>0</v>
      </c>
      <c r="AS2" s="23"/>
      <c r="AT2" s="29">
        <f>'LEARNERS DETAILS'!AU222</f>
        <v>0</v>
      </c>
      <c r="AU2" s="30">
        <f>'LEARNERS DETAILS'!AV222</f>
        <v>0</v>
      </c>
      <c r="AV2" s="31">
        <f>'LEARNERS DETAILS'!AW222</f>
        <v>0</v>
      </c>
      <c r="AW2" s="23"/>
      <c r="AX2" s="29">
        <f>'LEARNERS DETAILS'!AY222</f>
        <v>0</v>
      </c>
      <c r="AY2" s="30">
        <f>'LEARNERS DETAILS'!AZ222</f>
        <v>0</v>
      </c>
      <c r="AZ2" s="31">
        <f>'LEARNERS DETAILS'!BA222</f>
        <v>0</v>
      </c>
      <c r="BA2" s="23"/>
      <c r="BB2" s="29">
        <f>'LEARNERS DETAILS'!BC222</f>
        <v>0</v>
      </c>
      <c r="BC2" s="30">
        <f>'LEARNERS DETAILS'!BD222</f>
        <v>0</v>
      </c>
      <c r="BD2" s="31">
        <f>'LEARNERS DETAILS'!BE222</f>
        <v>0</v>
      </c>
      <c r="BE2" s="23"/>
      <c r="BF2" s="29">
        <f>'LEARNERS DETAILS'!BG222</f>
        <v>0</v>
      </c>
      <c r="BG2" s="30">
        <f>'LEARNERS DETAILS'!BH222</f>
        <v>0</v>
      </c>
      <c r="BH2" s="31">
        <f>'LEARNERS DETAILS'!BI222</f>
        <v>0</v>
      </c>
      <c r="BI2" s="23">
        <f>'LEARNERS DETAILS'!BJ222</f>
        <v>1</v>
      </c>
      <c r="BJ2" s="29">
        <f>'LEARNERS DETAILS'!BK222</f>
        <v>0</v>
      </c>
      <c r="BK2" s="30">
        <f>'LEARNERS DETAILS'!BL222</f>
        <v>1</v>
      </c>
    </row>
    <row r="3" spans="1:63" ht="18.75" x14ac:dyDescent="0.3">
      <c r="A3" s="88" t="s">
        <v>6</v>
      </c>
      <c r="B3" s="88"/>
      <c r="C3" s="88" t="s">
        <v>31</v>
      </c>
      <c r="D3" s="88"/>
      <c r="E3" s="88" t="s">
        <v>32</v>
      </c>
      <c r="F3" s="88"/>
      <c r="G3" s="88" t="s">
        <v>33</v>
      </c>
      <c r="H3" s="88"/>
    </row>
    <row r="5" spans="1:63" ht="15.75" x14ac:dyDescent="0.25">
      <c r="A5" s="86" t="s">
        <v>34</v>
      </c>
      <c r="B5" s="86"/>
      <c r="C5" s="85">
        <f>N2</f>
        <v>0</v>
      </c>
      <c r="D5" s="85"/>
      <c r="E5" s="83">
        <f>O2</f>
        <v>0</v>
      </c>
      <c r="F5" s="83"/>
      <c r="G5" s="89">
        <f>P2</f>
        <v>0</v>
      </c>
      <c r="H5" s="84"/>
    </row>
    <row r="7" spans="1:63" ht="15.75" x14ac:dyDescent="0.25">
      <c r="A7" s="86" t="s">
        <v>35</v>
      </c>
      <c r="B7" s="86"/>
      <c r="C7" s="85">
        <f>R2</f>
        <v>0</v>
      </c>
      <c r="D7" s="85"/>
      <c r="E7" s="83">
        <f>S2</f>
        <v>0</v>
      </c>
      <c r="F7" s="83"/>
      <c r="G7" s="84">
        <f>T2</f>
        <v>0</v>
      </c>
      <c r="H7" s="84"/>
    </row>
    <row r="9" spans="1:63" ht="15.75" x14ac:dyDescent="0.25">
      <c r="A9" s="86" t="s">
        <v>36</v>
      </c>
      <c r="B9" s="86"/>
      <c r="C9" s="85">
        <f>V2</f>
        <v>0</v>
      </c>
      <c r="D9" s="85"/>
      <c r="E9" s="83">
        <f>W2</f>
        <v>0</v>
      </c>
      <c r="F9" s="83"/>
      <c r="G9" s="84">
        <f>X2</f>
        <v>0</v>
      </c>
      <c r="H9" s="84"/>
    </row>
    <row r="11" spans="1:63" ht="15.75" x14ac:dyDescent="0.25">
      <c r="A11" s="86" t="s">
        <v>37</v>
      </c>
      <c r="B11" s="86"/>
      <c r="C11" s="85">
        <f>Z2</f>
        <v>1</v>
      </c>
      <c r="D11" s="85"/>
      <c r="E11" s="83">
        <f>AA2</f>
        <v>0</v>
      </c>
      <c r="F11" s="83"/>
      <c r="G11" s="84">
        <f>AB2</f>
        <v>1</v>
      </c>
      <c r="H11" s="84"/>
    </row>
    <row r="13" spans="1:63" ht="15.75" x14ac:dyDescent="0.25">
      <c r="A13" s="86" t="s">
        <v>38</v>
      </c>
      <c r="B13" s="86"/>
      <c r="C13" s="85">
        <f>AD2</f>
        <v>0</v>
      </c>
      <c r="D13" s="85"/>
      <c r="E13" s="83">
        <f>AE2</f>
        <v>0</v>
      </c>
      <c r="F13" s="83"/>
      <c r="G13" s="84">
        <f>AF2</f>
        <v>0</v>
      </c>
      <c r="H13" s="84"/>
    </row>
    <row r="15" spans="1:63" ht="15.75" x14ac:dyDescent="0.25">
      <c r="A15" s="86" t="s">
        <v>39</v>
      </c>
      <c r="B15" s="86"/>
      <c r="C15" s="85">
        <f>AH2</f>
        <v>0</v>
      </c>
      <c r="D15" s="85"/>
      <c r="E15" s="83">
        <f>AI2</f>
        <v>0</v>
      </c>
      <c r="F15" s="83"/>
      <c r="G15" s="84">
        <f>AJ2</f>
        <v>0</v>
      </c>
      <c r="H15" s="84"/>
    </row>
    <row r="17" spans="1:8" ht="15.75" x14ac:dyDescent="0.25">
      <c r="A17" s="86" t="s">
        <v>40</v>
      </c>
      <c r="B17" s="86"/>
      <c r="C17" s="85">
        <f>AL2</f>
        <v>0</v>
      </c>
      <c r="D17" s="85"/>
      <c r="E17" s="83">
        <f>AM2</f>
        <v>0</v>
      </c>
      <c r="F17" s="83"/>
      <c r="G17" s="84">
        <f>AN2</f>
        <v>0</v>
      </c>
      <c r="H17" s="84"/>
    </row>
    <row r="19" spans="1:8" ht="15.75" x14ac:dyDescent="0.25">
      <c r="A19" s="86" t="s">
        <v>41</v>
      </c>
      <c r="B19" s="86"/>
      <c r="C19" s="85">
        <f>AP2</f>
        <v>0</v>
      </c>
      <c r="D19" s="85"/>
      <c r="E19" s="83">
        <f>AQ2</f>
        <v>0</v>
      </c>
      <c r="F19" s="83"/>
      <c r="G19" s="84">
        <f>AR2</f>
        <v>0</v>
      </c>
      <c r="H19" s="84"/>
    </row>
    <row r="21" spans="1:8" ht="15.75" x14ac:dyDescent="0.25">
      <c r="A21" s="86" t="s">
        <v>42</v>
      </c>
      <c r="B21" s="86"/>
      <c r="C21" s="85">
        <f>AT2</f>
        <v>0</v>
      </c>
      <c r="D21" s="85"/>
      <c r="E21" s="83">
        <f>AU2</f>
        <v>0</v>
      </c>
      <c r="F21" s="83"/>
      <c r="G21" s="84">
        <f>AV2</f>
        <v>0</v>
      </c>
      <c r="H21" s="84"/>
    </row>
    <row r="23" spans="1:8" ht="15.75" x14ac:dyDescent="0.25">
      <c r="A23" s="86" t="s">
        <v>43</v>
      </c>
      <c r="B23" s="86"/>
      <c r="C23" s="85">
        <f>AX2</f>
        <v>0</v>
      </c>
      <c r="D23" s="85"/>
      <c r="E23" s="83">
        <f>AY2</f>
        <v>0</v>
      </c>
      <c r="F23" s="83"/>
      <c r="G23" s="84">
        <f>BH2</f>
        <v>0</v>
      </c>
      <c r="H23" s="84"/>
    </row>
    <row r="25" spans="1:8" ht="15.75" x14ac:dyDescent="0.25">
      <c r="A25" s="86" t="s">
        <v>44</v>
      </c>
      <c r="B25" s="86"/>
      <c r="C25" s="85">
        <f>BB2</f>
        <v>0</v>
      </c>
      <c r="D25" s="85"/>
      <c r="E25" s="83">
        <f>BC2</f>
        <v>0</v>
      </c>
      <c r="F25" s="83"/>
      <c r="G25" s="84">
        <f>-BD2</f>
        <v>0</v>
      </c>
      <c r="H25" s="84"/>
    </row>
    <row r="27" spans="1:8" ht="15.75" x14ac:dyDescent="0.25">
      <c r="A27" s="86" t="s">
        <v>45</v>
      </c>
      <c r="B27" s="86"/>
      <c r="C27" s="85">
        <f>BF2</f>
        <v>0</v>
      </c>
      <c r="D27" s="85"/>
      <c r="E27" s="83">
        <f>BG2</f>
        <v>0</v>
      </c>
      <c r="F27" s="83"/>
      <c r="G27" s="84">
        <f>BH2</f>
        <v>0</v>
      </c>
      <c r="H27" s="84"/>
    </row>
    <row r="29" spans="1:8" ht="15.75" x14ac:dyDescent="0.25">
      <c r="A29" s="79" t="s">
        <v>33</v>
      </c>
      <c r="B29" s="79"/>
      <c r="C29" s="80">
        <f>BI2</f>
        <v>1</v>
      </c>
      <c r="D29" s="80"/>
      <c r="E29" s="81">
        <f>BJ2</f>
        <v>0</v>
      </c>
      <c r="F29" s="81"/>
      <c r="G29" s="82">
        <f>BK2</f>
        <v>1</v>
      </c>
      <c r="H29" s="82"/>
    </row>
  </sheetData>
  <sheetProtection password="CC3D" sheet="1" objects="1" scenarios="1"/>
  <mergeCells count="57">
    <mergeCell ref="C5:D5"/>
    <mergeCell ref="C7:D7"/>
    <mergeCell ref="C9:D9"/>
    <mergeCell ref="C11:D11"/>
    <mergeCell ref="A5:B5"/>
    <mergeCell ref="A7:B7"/>
    <mergeCell ref="A9:B9"/>
    <mergeCell ref="A11:B11"/>
    <mergeCell ref="A13:B13"/>
    <mergeCell ref="A1:H1"/>
    <mergeCell ref="A3:B3"/>
    <mergeCell ref="C3:D3"/>
    <mergeCell ref="E3:F3"/>
    <mergeCell ref="G3:H3"/>
    <mergeCell ref="C13:D13"/>
    <mergeCell ref="E5:F5"/>
    <mergeCell ref="E7:F7"/>
    <mergeCell ref="E9:F9"/>
    <mergeCell ref="E13:F13"/>
    <mergeCell ref="G13:H13"/>
    <mergeCell ref="G11:H11"/>
    <mergeCell ref="G9:H9"/>
    <mergeCell ref="G7:H7"/>
    <mergeCell ref="G5:H5"/>
    <mergeCell ref="A15:B15"/>
    <mergeCell ref="A27:B27"/>
    <mergeCell ref="C17:D17"/>
    <mergeCell ref="C19:D19"/>
    <mergeCell ref="C21:D21"/>
    <mergeCell ref="C23:D23"/>
    <mergeCell ref="C25:D25"/>
    <mergeCell ref="A19:B19"/>
    <mergeCell ref="A21:B21"/>
    <mergeCell ref="A23:B23"/>
    <mergeCell ref="A25:B25"/>
    <mergeCell ref="A17:B17"/>
    <mergeCell ref="E23:F23"/>
    <mergeCell ref="E21:F21"/>
    <mergeCell ref="E19:F19"/>
    <mergeCell ref="E17:F17"/>
    <mergeCell ref="E15:F15"/>
    <mergeCell ref="A29:B29"/>
    <mergeCell ref="C29:D29"/>
    <mergeCell ref="E29:F29"/>
    <mergeCell ref="G29:H29"/>
    <mergeCell ref="E11:F11"/>
    <mergeCell ref="E25:F25"/>
    <mergeCell ref="E27:F27"/>
    <mergeCell ref="G27:H27"/>
    <mergeCell ref="G25:H25"/>
    <mergeCell ref="G23:H23"/>
    <mergeCell ref="G21:H21"/>
    <mergeCell ref="G19:H19"/>
    <mergeCell ref="G17:H17"/>
    <mergeCell ref="G15:H15"/>
    <mergeCell ref="C27:D27"/>
    <mergeCell ref="C15:D15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A1:HS30"/>
  <sheetViews>
    <sheetView workbookViewId="0"/>
  </sheetViews>
  <sheetFormatPr defaultRowHeight="15" x14ac:dyDescent="0.25"/>
  <cols>
    <col min="1" max="1" width="15.5703125" customWidth="1"/>
    <col min="2" max="2" width="37.7109375" customWidth="1"/>
    <col min="3" max="3" width="22.5703125" customWidth="1"/>
    <col min="4" max="4" width="32.85546875" customWidth="1"/>
    <col min="5" max="5" width="24" customWidth="1"/>
    <col min="6" max="7" width="18.140625" customWidth="1"/>
    <col min="8" max="8" width="18.85546875" customWidth="1"/>
    <col min="9" max="9" width="16" customWidth="1"/>
    <col min="10" max="10" width="14.5703125" customWidth="1"/>
    <col min="12" max="12" width="12.85546875" customWidth="1"/>
    <col min="13" max="13" width="12.140625" customWidth="1"/>
    <col min="14" max="14" width="10.85546875" customWidth="1"/>
    <col min="18" max="18" width="15.5703125" customWidth="1"/>
    <col min="19" max="19" width="37.7109375" customWidth="1"/>
    <col min="20" max="20" width="22.5703125" customWidth="1"/>
    <col min="21" max="21" width="32.85546875" customWidth="1"/>
    <col min="22" max="22" width="24" customWidth="1"/>
    <col min="23" max="23" width="18.140625" customWidth="1"/>
    <col min="24" max="24" width="18.85546875" style="62" customWidth="1"/>
    <col min="25" max="25" width="15.5703125" customWidth="1"/>
    <col min="26" max="26" width="37.7109375" customWidth="1"/>
    <col min="27" max="27" width="22.5703125" customWidth="1"/>
    <col min="28" max="28" width="32.85546875" customWidth="1"/>
    <col min="29" max="29" width="24" customWidth="1"/>
    <col min="30" max="30" width="18.140625" customWidth="1"/>
    <col min="31" max="31" width="18.85546875" style="62" customWidth="1"/>
    <col min="32" max="32" width="15.5703125" customWidth="1"/>
    <col min="33" max="33" width="37.7109375" customWidth="1"/>
    <col min="34" max="34" width="22.5703125" customWidth="1"/>
    <col min="35" max="35" width="32.85546875" customWidth="1"/>
    <col min="36" max="36" width="24" customWidth="1"/>
    <col min="37" max="37" width="18.140625" customWidth="1"/>
    <col min="38" max="38" width="18.85546875" style="62" customWidth="1"/>
    <col min="39" max="39" width="15.5703125" customWidth="1"/>
    <col min="40" max="40" width="37.7109375" customWidth="1"/>
    <col min="41" max="41" width="22.5703125" customWidth="1"/>
    <col min="42" max="42" width="32.85546875" customWidth="1"/>
    <col min="43" max="43" width="24" customWidth="1"/>
    <col min="44" max="44" width="18.140625" customWidth="1"/>
    <col min="45" max="45" width="18.85546875" style="62" customWidth="1"/>
    <col min="46" max="46" width="15.5703125" customWidth="1"/>
    <col min="47" max="47" width="37.7109375" customWidth="1"/>
    <col min="48" max="48" width="22.5703125" customWidth="1"/>
    <col min="49" max="49" width="32.85546875" customWidth="1"/>
    <col min="50" max="50" width="24" customWidth="1"/>
    <col min="51" max="51" width="18.140625" customWidth="1"/>
    <col min="52" max="52" width="18.85546875" style="62" customWidth="1"/>
    <col min="53" max="53" width="15.5703125" customWidth="1"/>
    <col min="54" max="54" width="37.7109375" customWidth="1"/>
    <col min="55" max="55" width="22.5703125" customWidth="1"/>
    <col min="56" max="56" width="32.85546875" customWidth="1"/>
    <col min="57" max="57" width="24" customWidth="1"/>
    <col min="58" max="58" width="18.140625" customWidth="1"/>
    <col min="59" max="59" width="18.85546875" style="62" customWidth="1"/>
    <col min="60" max="60" width="15.5703125" customWidth="1"/>
    <col min="61" max="61" width="37.7109375" customWidth="1"/>
    <col min="62" max="62" width="22.5703125" customWidth="1"/>
    <col min="63" max="63" width="32.85546875" customWidth="1"/>
    <col min="64" max="64" width="24" customWidth="1"/>
    <col min="65" max="65" width="18.140625" customWidth="1"/>
    <col min="66" max="66" width="18.85546875" style="62" customWidth="1"/>
    <col min="67" max="67" width="15.5703125" customWidth="1"/>
    <col min="68" max="68" width="37.7109375" customWidth="1"/>
    <col min="69" max="69" width="22.5703125" customWidth="1"/>
    <col min="70" max="70" width="32.85546875" customWidth="1"/>
    <col min="71" max="71" width="24" customWidth="1"/>
    <col min="72" max="72" width="18.140625" customWidth="1"/>
    <col min="73" max="73" width="18.85546875" style="62" customWidth="1"/>
    <col min="74" max="74" width="15.5703125" customWidth="1"/>
    <col min="75" max="75" width="37.7109375" customWidth="1"/>
    <col min="76" max="76" width="22.5703125" customWidth="1"/>
    <col min="77" max="77" width="32.85546875" customWidth="1"/>
    <col min="78" max="78" width="24" customWidth="1"/>
    <col min="79" max="79" width="18.140625" customWidth="1"/>
    <col min="80" max="80" width="18.85546875" style="62" customWidth="1"/>
    <col min="81" max="81" width="15.5703125" customWidth="1"/>
    <col min="82" max="82" width="37.7109375" customWidth="1"/>
    <col min="83" max="83" width="22.5703125" customWidth="1"/>
    <col min="84" max="84" width="32.85546875" customWidth="1"/>
    <col min="85" max="85" width="24" customWidth="1"/>
    <col min="86" max="86" width="18.140625" customWidth="1"/>
    <col min="87" max="87" width="18.85546875" style="62" customWidth="1"/>
    <col min="88" max="88" width="15.5703125" customWidth="1"/>
    <col min="89" max="89" width="37.7109375" customWidth="1"/>
    <col min="90" max="90" width="22.5703125" customWidth="1"/>
    <col min="91" max="91" width="32.85546875" customWidth="1"/>
    <col min="92" max="92" width="24" customWidth="1"/>
    <col min="93" max="93" width="18.140625" customWidth="1"/>
    <col min="94" max="94" width="18.85546875" style="62" customWidth="1"/>
    <col min="95" max="95" width="15.5703125" customWidth="1"/>
    <col min="96" max="96" width="37.7109375" customWidth="1"/>
    <col min="97" max="97" width="22.5703125" customWidth="1"/>
    <col min="98" max="98" width="32.85546875" customWidth="1"/>
    <col min="99" max="99" width="24" customWidth="1"/>
    <col min="100" max="100" width="18.140625" customWidth="1"/>
    <col min="101" max="101" width="18.85546875" style="62" customWidth="1"/>
    <col min="102" max="102" width="15.5703125" customWidth="1"/>
    <col min="103" max="103" width="37.7109375" customWidth="1"/>
    <col min="104" max="104" width="22.5703125" customWidth="1"/>
    <col min="105" max="105" width="32.85546875" customWidth="1"/>
    <col min="106" max="106" width="24" customWidth="1"/>
    <col min="107" max="107" width="18.140625" customWidth="1"/>
    <col min="108" max="108" width="18.85546875" style="62" customWidth="1"/>
    <col min="109" max="109" width="15.5703125" customWidth="1"/>
    <col min="110" max="110" width="37.7109375" customWidth="1"/>
    <col min="111" max="111" width="22.5703125" customWidth="1"/>
    <col min="112" max="112" width="32.85546875" customWidth="1"/>
    <col min="113" max="113" width="24" customWidth="1"/>
    <col min="114" max="114" width="18.140625" customWidth="1"/>
    <col min="115" max="115" width="18.85546875" style="62" customWidth="1"/>
    <col min="116" max="116" width="15.5703125" customWidth="1"/>
    <col min="117" max="117" width="37.7109375" customWidth="1"/>
    <col min="118" max="118" width="22.5703125" customWidth="1"/>
    <col min="119" max="119" width="32.85546875" customWidth="1"/>
    <col min="120" max="120" width="24" customWidth="1"/>
    <col min="121" max="121" width="18.140625" customWidth="1"/>
    <col min="122" max="122" width="18.85546875" style="62" customWidth="1"/>
    <col min="123" max="123" width="15.5703125" customWidth="1"/>
    <col min="124" max="124" width="37.7109375" customWidth="1"/>
    <col min="125" max="125" width="22.5703125" customWidth="1"/>
    <col min="126" max="126" width="32.85546875" customWidth="1"/>
    <col min="127" max="127" width="24" customWidth="1"/>
    <col min="128" max="128" width="18.140625" customWidth="1"/>
    <col min="129" max="129" width="18.85546875" style="62" customWidth="1"/>
    <col min="130" max="130" width="15.5703125" customWidth="1"/>
    <col min="131" max="131" width="37.7109375" customWidth="1"/>
    <col min="132" max="132" width="22.5703125" customWidth="1"/>
    <col min="133" max="133" width="32.85546875" customWidth="1"/>
    <col min="134" max="134" width="24" customWidth="1"/>
    <col min="135" max="135" width="18.140625" customWidth="1"/>
    <col min="136" max="136" width="18.85546875" style="62" customWidth="1"/>
    <col min="137" max="137" width="15.5703125" customWidth="1"/>
    <col min="138" max="138" width="37.7109375" customWidth="1"/>
    <col min="139" max="139" width="22.5703125" customWidth="1"/>
    <col min="140" max="140" width="32.85546875" customWidth="1"/>
    <col min="141" max="141" width="24" customWidth="1"/>
    <col min="142" max="142" width="18.140625" customWidth="1"/>
    <col min="143" max="143" width="18.85546875" style="62" customWidth="1"/>
    <col min="144" max="144" width="15.5703125" customWidth="1"/>
    <col min="145" max="145" width="37.7109375" customWidth="1"/>
    <col min="146" max="146" width="22.5703125" customWidth="1"/>
    <col min="147" max="147" width="32.85546875" customWidth="1"/>
    <col min="148" max="148" width="24" customWidth="1"/>
    <col min="149" max="149" width="18.140625" customWidth="1"/>
    <col min="150" max="150" width="18.85546875" style="62" customWidth="1"/>
    <col min="151" max="151" width="15.5703125" customWidth="1"/>
    <col min="152" max="152" width="37.7109375" customWidth="1"/>
    <col min="153" max="153" width="22.5703125" customWidth="1"/>
    <col min="154" max="154" width="32.85546875" customWidth="1"/>
    <col min="155" max="155" width="24" customWidth="1"/>
    <col min="156" max="156" width="18.140625" customWidth="1"/>
    <col min="157" max="157" width="18.85546875" style="62" customWidth="1"/>
    <col min="158" max="158" width="15.5703125" customWidth="1"/>
    <col min="159" max="159" width="37.7109375" customWidth="1"/>
    <col min="160" max="160" width="22.5703125" customWidth="1"/>
    <col min="161" max="161" width="32.85546875" customWidth="1"/>
    <col min="162" max="162" width="24" customWidth="1"/>
    <col min="163" max="163" width="18.140625" customWidth="1"/>
    <col min="164" max="164" width="18.85546875" style="62" customWidth="1"/>
    <col min="165" max="165" width="15.5703125" customWidth="1"/>
    <col min="166" max="166" width="37.7109375" customWidth="1"/>
    <col min="167" max="167" width="22.5703125" customWidth="1"/>
    <col min="168" max="168" width="32.85546875" customWidth="1"/>
    <col min="169" max="169" width="24" customWidth="1"/>
    <col min="170" max="170" width="18.140625" customWidth="1"/>
    <col min="171" max="171" width="18.85546875" style="62" customWidth="1"/>
    <col min="172" max="172" width="15.5703125" customWidth="1"/>
    <col min="173" max="173" width="37.7109375" customWidth="1"/>
    <col min="174" max="174" width="22.5703125" customWidth="1"/>
    <col min="175" max="175" width="32.85546875" customWidth="1"/>
    <col min="176" max="176" width="24" customWidth="1"/>
    <col min="177" max="177" width="18.140625" customWidth="1"/>
    <col min="178" max="178" width="18.85546875" style="62" customWidth="1"/>
    <col min="179" max="179" width="15.5703125" customWidth="1"/>
    <col min="180" max="180" width="37.7109375" customWidth="1"/>
    <col min="181" max="181" width="22.5703125" customWidth="1"/>
    <col min="182" max="182" width="32.85546875" customWidth="1"/>
    <col min="183" max="183" width="24" customWidth="1"/>
    <col min="184" max="184" width="18.140625" customWidth="1"/>
    <col min="185" max="185" width="18.85546875" style="62" customWidth="1"/>
    <col min="186" max="186" width="15.5703125" customWidth="1"/>
    <col min="187" max="187" width="37.7109375" customWidth="1"/>
    <col min="188" max="188" width="22.5703125" customWidth="1"/>
    <col min="189" max="189" width="32.85546875" customWidth="1"/>
    <col min="190" max="190" width="24" customWidth="1"/>
    <col min="191" max="191" width="18.140625" customWidth="1"/>
    <col min="192" max="192" width="18.85546875" style="62" customWidth="1"/>
    <col min="193" max="193" width="15.5703125" customWidth="1"/>
    <col min="194" max="194" width="37.7109375" customWidth="1"/>
    <col min="195" max="195" width="22.5703125" customWidth="1"/>
    <col min="196" max="196" width="32.85546875" customWidth="1"/>
    <col min="197" max="197" width="24" customWidth="1"/>
    <col min="198" max="198" width="18.140625" customWidth="1"/>
    <col min="199" max="199" width="18.85546875" style="62" customWidth="1"/>
    <col min="200" max="200" width="15.5703125" customWidth="1"/>
    <col min="201" max="201" width="37.7109375" customWidth="1"/>
    <col min="202" max="202" width="22.5703125" customWidth="1"/>
    <col min="203" max="203" width="32.85546875" customWidth="1"/>
    <col min="204" max="204" width="24" customWidth="1"/>
    <col min="205" max="205" width="18.140625" customWidth="1"/>
    <col min="206" max="206" width="18.85546875" style="62" customWidth="1"/>
    <col min="207" max="207" width="15.5703125" customWidth="1"/>
    <col min="208" max="208" width="37.7109375" customWidth="1"/>
    <col min="209" max="209" width="22.5703125" customWidth="1"/>
    <col min="210" max="210" width="32.85546875" customWidth="1"/>
    <col min="211" max="211" width="24" customWidth="1"/>
    <col min="212" max="212" width="18.140625" customWidth="1"/>
    <col min="213" max="213" width="18.85546875" style="62" customWidth="1"/>
    <col min="214" max="214" width="15.5703125" customWidth="1"/>
    <col min="215" max="215" width="37.7109375" customWidth="1"/>
    <col min="216" max="216" width="22.5703125" customWidth="1"/>
    <col min="217" max="217" width="32.85546875" customWidth="1"/>
    <col min="218" max="218" width="24" customWidth="1"/>
    <col min="219" max="219" width="18.140625" customWidth="1"/>
    <col min="220" max="220" width="18.85546875" style="62" customWidth="1"/>
    <col min="221" max="221" width="15.5703125" customWidth="1"/>
    <col min="222" max="222" width="37.7109375" customWidth="1"/>
    <col min="223" max="223" width="22.5703125" customWidth="1"/>
    <col min="224" max="224" width="32.85546875" customWidth="1"/>
    <col min="225" max="225" width="24" customWidth="1"/>
    <col min="226" max="226" width="18.140625" customWidth="1"/>
    <col min="227" max="227" width="18.85546875" style="62" customWidth="1"/>
  </cols>
  <sheetData>
    <row r="1" spans="1:227" ht="51.75" customHeight="1" x14ac:dyDescent="0.25">
      <c r="A1" s="32" t="s">
        <v>49</v>
      </c>
      <c r="B1" s="32" t="s">
        <v>5</v>
      </c>
      <c r="C1" s="32" t="s">
        <v>14</v>
      </c>
      <c r="D1" s="32" t="s">
        <v>21</v>
      </c>
      <c r="E1" s="32" t="s">
        <v>19</v>
      </c>
      <c r="F1" s="32" t="s">
        <v>12</v>
      </c>
      <c r="G1" s="32" t="s">
        <v>51</v>
      </c>
      <c r="H1" s="32" t="s">
        <v>50</v>
      </c>
      <c r="L1" s="39" t="s">
        <v>31</v>
      </c>
      <c r="M1" s="39" t="s">
        <v>32</v>
      </c>
      <c r="N1" s="39" t="s">
        <v>33</v>
      </c>
      <c r="R1" s="32" t="s">
        <v>49</v>
      </c>
      <c r="S1" s="32" t="s">
        <v>5</v>
      </c>
      <c r="T1" s="32" t="s">
        <v>14</v>
      </c>
      <c r="U1" s="32" t="s">
        <v>21</v>
      </c>
      <c r="V1" s="32" t="s">
        <v>19</v>
      </c>
      <c r="W1" s="32" t="s">
        <v>12</v>
      </c>
      <c r="X1" s="32" t="s">
        <v>50</v>
      </c>
      <c r="Y1" s="32" t="s">
        <v>49</v>
      </c>
      <c r="Z1" s="32" t="s">
        <v>5</v>
      </c>
      <c r="AA1" s="32" t="s">
        <v>14</v>
      </c>
      <c r="AB1" s="32" t="s">
        <v>21</v>
      </c>
      <c r="AC1" s="32" t="s">
        <v>19</v>
      </c>
      <c r="AD1" s="32" t="s">
        <v>12</v>
      </c>
      <c r="AE1" s="32" t="s">
        <v>50</v>
      </c>
      <c r="AF1" s="32" t="s">
        <v>49</v>
      </c>
      <c r="AG1" s="32" t="s">
        <v>5</v>
      </c>
      <c r="AH1" s="32" t="s">
        <v>14</v>
      </c>
      <c r="AI1" s="32" t="s">
        <v>21</v>
      </c>
      <c r="AJ1" s="32" t="s">
        <v>19</v>
      </c>
      <c r="AK1" s="32" t="s">
        <v>12</v>
      </c>
      <c r="AL1" s="32" t="s">
        <v>50</v>
      </c>
      <c r="AM1" s="32" t="s">
        <v>49</v>
      </c>
      <c r="AN1" s="32" t="s">
        <v>5</v>
      </c>
      <c r="AO1" s="32" t="s">
        <v>14</v>
      </c>
      <c r="AP1" s="32" t="s">
        <v>21</v>
      </c>
      <c r="AQ1" s="32" t="s">
        <v>19</v>
      </c>
      <c r="AR1" s="32" t="s">
        <v>12</v>
      </c>
      <c r="AS1" s="32" t="s">
        <v>50</v>
      </c>
      <c r="AT1" s="32" t="s">
        <v>49</v>
      </c>
      <c r="AU1" s="32" t="s">
        <v>5</v>
      </c>
      <c r="AV1" s="32" t="s">
        <v>14</v>
      </c>
      <c r="AW1" s="32" t="s">
        <v>21</v>
      </c>
      <c r="AX1" s="32" t="s">
        <v>19</v>
      </c>
      <c r="AY1" s="32" t="s">
        <v>12</v>
      </c>
      <c r="AZ1" s="32" t="s">
        <v>50</v>
      </c>
      <c r="BA1" s="32" t="s">
        <v>49</v>
      </c>
      <c r="BB1" s="32" t="s">
        <v>5</v>
      </c>
      <c r="BC1" s="32" t="s">
        <v>14</v>
      </c>
      <c r="BD1" s="32" t="s">
        <v>21</v>
      </c>
      <c r="BE1" s="32" t="s">
        <v>19</v>
      </c>
      <c r="BF1" s="32" t="s">
        <v>12</v>
      </c>
      <c r="BG1" s="32" t="s">
        <v>50</v>
      </c>
      <c r="BH1" s="32" t="s">
        <v>49</v>
      </c>
      <c r="BI1" s="32" t="s">
        <v>5</v>
      </c>
      <c r="BJ1" s="32" t="s">
        <v>14</v>
      </c>
      <c r="BK1" s="32" t="s">
        <v>21</v>
      </c>
      <c r="BL1" s="32" t="s">
        <v>19</v>
      </c>
      <c r="BM1" s="32" t="s">
        <v>12</v>
      </c>
      <c r="BN1" s="32" t="s">
        <v>50</v>
      </c>
      <c r="BO1" s="66" t="s">
        <v>49</v>
      </c>
      <c r="BP1" s="66" t="s">
        <v>5</v>
      </c>
      <c r="BQ1" s="66" t="s">
        <v>14</v>
      </c>
      <c r="BR1" s="66" t="s">
        <v>21</v>
      </c>
      <c r="BS1" s="66" t="s">
        <v>19</v>
      </c>
      <c r="BT1" s="66" t="s">
        <v>12</v>
      </c>
      <c r="BU1" s="32" t="s">
        <v>50</v>
      </c>
      <c r="BV1" s="32" t="s">
        <v>49</v>
      </c>
      <c r="BW1" s="32" t="s">
        <v>5</v>
      </c>
      <c r="BX1" s="32" t="s">
        <v>14</v>
      </c>
      <c r="BY1" s="32" t="s">
        <v>21</v>
      </c>
      <c r="BZ1" s="32" t="s">
        <v>19</v>
      </c>
      <c r="CA1" s="32" t="s">
        <v>12</v>
      </c>
      <c r="CB1" s="32" t="s">
        <v>50</v>
      </c>
      <c r="CC1" s="32" t="s">
        <v>49</v>
      </c>
      <c r="CD1" s="32" t="s">
        <v>5</v>
      </c>
      <c r="CE1" s="32" t="s">
        <v>14</v>
      </c>
      <c r="CF1" s="32" t="s">
        <v>21</v>
      </c>
      <c r="CG1" s="32" t="s">
        <v>19</v>
      </c>
      <c r="CH1" s="32" t="s">
        <v>12</v>
      </c>
      <c r="CI1" s="32" t="s">
        <v>50</v>
      </c>
      <c r="CJ1" s="32" t="s">
        <v>49</v>
      </c>
      <c r="CK1" s="32" t="s">
        <v>5</v>
      </c>
      <c r="CL1" s="32" t="s">
        <v>14</v>
      </c>
      <c r="CM1" s="32" t="s">
        <v>21</v>
      </c>
      <c r="CN1" s="32" t="s">
        <v>19</v>
      </c>
      <c r="CO1" s="32" t="s">
        <v>12</v>
      </c>
      <c r="CP1" s="32" t="s">
        <v>50</v>
      </c>
      <c r="CQ1" s="32" t="s">
        <v>49</v>
      </c>
      <c r="CR1" s="32" t="s">
        <v>5</v>
      </c>
      <c r="CS1" s="32" t="s">
        <v>14</v>
      </c>
      <c r="CT1" s="32" t="s">
        <v>21</v>
      </c>
      <c r="CU1" s="32" t="s">
        <v>19</v>
      </c>
      <c r="CV1" s="32" t="s">
        <v>12</v>
      </c>
      <c r="CW1" s="32" t="s">
        <v>50</v>
      </c>
      <c r="CX1" s="32" t="s">
        <v>49</v>
      </c>
      <c r="CY1" s="32" t="s">
        <v>5</v>
      </c>
      <c r="CZ1" s="32" t="s">
        <v>14</v>
      </c>
      <c r="DA1" s="32" t="s">
        <v>21</v>
      </c>
      <c r="DB1" s="32" t="s">
        <v>19</v>
      </c>
      <c r="DC1" s="32" t="s">
        <v>12</v>
      </c>
      <c r="DD1" s="32" t="s">
        <v>50</v>
      </c>
      <c r="DE1" s="32" t="s">
        <v>49</v>
      </c>
      <c r="DF1" s="32" t="s">
        <v>5</v>
      </c>
      <c r="DG1" s="32" t="s">
        <v>14</v>
      </c>
      <c r="DH1" s="32" t="s">
        <v>21</v>
      </c>
      <c r="DI1" s="32" t="s">
        <v>19</v>
      </c>
      <c r="DJ1" s="32" t="s">
        <v>12</v>
      </c>
      <c r="DK1" s="32" t="s">
        <v>50</v>
      </c>
      <c r="DL1" s="32" t="s">
        <v>49</v>
      </c>
      <c r="DM1" s="32" t="s">
        <v>5</v>
      </c>
      <c r="DN1" s="32" t="s">
        <v>14</v>
      </c>
      <c r="DO1" s="32" t="s">
        <v>21</v>
      </c>
      <c r="DP1" s="32" t="s">
        <v>19</v>
      </c>
      <c r="DQ1" s="32" t="s">
        <v>12</v>
      </c>
      <c r="DR1" s="32" t="s">
        <v>50</v>
      </c>
      <c r="DS1" s="32" t="s">
        <v>49</v>
      </c>
      <c r="DT1" s="32" t="s">
        <v>5</v>
      </c>
      <c r="DU1" s="32" t="s">
        <v>14</v>
      </c>
      <c r="DV1" s="32" t="s">
        <v>21</v>
      </c>
      <c r="DW1" s="32" t="s">
        <v>19</v>
      </c>
      <c r="DX1" s="32" t="s">
        <v>12</v>
      </c>
      <c r="DY1" s="32" t="s">
        <v>50</v>
      </c>
      <c r="DZ1" s="32" t="s">
        <v>49</v>
      </c>
      <c r="EA1" s="32" t="s">
        <v>5</v>
      </c>
      <c r="EB1" s="32" t="s">
        <v>14</v>
      </c>
      <c r="EC1" s="32" t="s">
        <v>21</v>
      </c>
      <c r="ED1" s="32" t="s">
        <v>19</v>
      </c>
      <c r="EE1" s="32" t="s">
        <v>12</v>
      </c>
      <c r="EF1" s="32" t="s">
        <v>50</v>
      </c>
      <c r="EG1" s="32" t="s">
        <v>49</v>
      </c>
      <c r="EH1" s="32" t="s">
        <v>5</v>
      </c>
      <c r="EI1" s="32" t="s">
        <v>14</v>
      </c>
      <c r="EJ1" s="32" t="s">
        <v>21</v>
      </c>
      <c r="EK1" s="32" t="s">
        <v>19</v>
      </c>
      <c r="EL1" s="32" t="s">
        <v>12</v>
      </c>
      <c r="EM1" s="32" t="s">
        <v>50</v>
      </c>
      <c r="EN1" s="32" t="s">
        <v>49</v>
      </c>
      <c r="EO1" s="32" t="s">
        <v>5</v>
      </c>
      <c r="EP1" s="32" t="s">
        <v>14</v>
      </c>
      <c r="EQ1" s="32" t="s">
        <v>21</v>
      </c>
      <c r="ER1" s="32" t="s">
        <v>19</v>
      </c>
      <c r="ES1" s="32" t="s">
        <v>12</v>
      </c>
      <c r="ET1" s="32" t="s">
        <v>50</v>
      </c>
      <c r="EU1" s="32" t="s">
        <v>49</v>
      </c>
      <c r="EV1" s="32" t="s">
        <v>5</v>
      </c>
      <c r="EW1" s="32" t="s">
        <v>14</v>
      </c>
      <c r="EX1" s="32" t="s">
        <v>21</v>
      </c>
      <c r="EY1" s="32" t="s">
        <v>19</v>
      </c>
      <c r="EZ1" s="32" t="s">
        <v>12</v>
      </c>
      <c r="FA1" s="32" t="s">
        <v>50</v>
      </c>
      <c r="FB1" s="32" t="s">
        <v>49</v>
      </c>
      <c r="FC1" s="32" t="s">
        <v>5</v>
      </c>
      <c r="FD1" s="32" t="s">
        <v>14</v>
      </c>
      <c r="FE1" s="32" t="s">
        <v>21</v>
      </c>
      <c r="FF1" s="32" t="s">
        <v>19</v>
      </c>
      <c r="FG1" s="32" t="s">
        <v>12</v>
      </c>
      <c r="FH1" s="32" t="s">
        <v>50</v>
      </c>
      <c r="FI1" s="32" t="s">
        <v>49</v>
      </c>
      <c r="FJ1" s="32" t="s">
        <v>5</v>
      </c>
      <c r="FK1" s="32" t="s">
        <v>14</v>
      </c>
      <c r="FL1" s="32" t="s">
        <v>21</v>
      </c>
      <c r="FM1" s="32" t="s">
        <v>19</v>
      </c>
      <c r="FN1" s="32" t="s">
        <v>12</v>
      </c>
      <c r="FO1" s="32" t="s">
        <v>50</v>
      </c>
      <c r="FP1" s="32" t="s">
        <v>49</v>
      </c>
      <c r="FQ1" s="32" t="s">
        <v>5</v>
      </c>
      <c r="FR1" s="32" t="s">
        <v>14</v>
      </c>
      <c r="FS1" s="32" t="s">
        <v>21</v>
      </c>
      <c r="FT1" s="32" t="s">
        <v>19</v>
      </c>
      <c r="FU1" s="32" t="s">
        <v>12</v>
      </c>
      <c r="FV1" s="32" t="s">
        <v>50</v>
      </c>
      <c r="FW1" s="32" t="s">
        <v>49</v>
      </c>
      <c r="FX1" s="32" t="s">
        <v>5</v>
      </c>
      <c r="FY1" s="32" t="s">
        <v>14</v>
      </c>
      <c r="FZ1" s="32" t="s">
        <v>21</v>
      </c>
      <c r="GA1" s="32" t="s">
        <v>19</v>
      </c>
      <c r="GB1" s="32" t="s">
        <v>12</v>
      </c>
      <c r="GC1" s="32" t="s">
        <v>50</v>
      </c>
      <c r="GD1" s="32" t="s">
        <v>49</v>
      </c>
      <c r="GE1" s="32" t="s">
        <v>5</v>
      </c>
      <c r="GF1" s="32" t="s">
        <v>14</v>
      </c>
      <c r="GG1" s="32" t="s">
        <v>21</v>
      </c>
      <c r="GH1" s="32" t="s">
        <v>19</v>
      </c>
      <c r="GI1" s="32" t="s">
        <v>12</v>
      </c>
      <c r="GJ1" s="32" t="s">
        <v>50</v>
      </c>
      <c r="GK1" s="32" t="s">
        <v>49</v>
      </c>
      <c r="GL1" s="32" t="s">
        <v>5</v>
      </c>
      <c r="GM1" s="32" t="s">
        <v>14</v>
      </c>
      <c r="GN1" s="32" t="s">
        <v>21</v>
      </c>
      <c r="GO1" s="32" t="s">
        <v>19</v>
      </c>
      <c r="GP1" s="32" t="s">
        <v>12</v>
      </c>
      <c r="GQ1" s="32" t="s">
        <v>50</v>
      </c>
      <c r="GR1" s="32" t="s">
        <v>49</v>
      </c>
      <c r="GS1" s="32" t="s">
        <v>5</v>
      </c>
      <c r="GT1" s="32" t="s">
        <v>14</v>
      </c>
      <c r="GU1" s="32" t="s">
        <v>21</v>
      </c>
      <c r="GV1" s="32" t="s">
        <v>19</v>
      </c>
      <c r="GW1" s="32" t="s">
        <v>12</v>
      </c>
      <c r="GX1" s="32" t="s">
        <v>50</v>
      </c>
      <c r="GY1" s="32" t="s">
        <v>49</v>
      </c>
      <c r="GZ1" s="32" t="s">
        <v>5</v>
      </c>
      <c r="HA1" s="32" t="s">
        <v>14</v>
      </c>
      <c r="HB1" s="32" t="s">
        <v>21</v>
      </c>
      <c r="HC1" s="32" t="s">
        <v>19</v>
      </c>
      <c r="HD1" s="32" t="s">
        <v>12</v>
      </c>
      <c r="HE1" s="32" t="s">
        <v>50</v>
      </c>
      <c r="HF1" s="32" t="s">
        <v>49</v>
      </c>
      <c r="HG1" s="32" t="s">
        <v>5</v>
      </c>
      <c r="HH1" s="32" t="s">
        <v>14</v>
      </c>
      <c r="HI1" s="32" t="s">
        <v>21</v>
      </c>
      <c r="HJ1" s="32" t="s">
        <v>19</v>
      </c>
      <c r="HK1" s="32" t="s">
        <v>12</v>
      </c>
      <c r="HL1" s="32" t="s">
        <v>50</v>
      </c>
      <c r="HM1" s="32" t="s">
        <v>49</v>
      </c>
      <c r="HN1" s="32" t="s">
        <v>5</v>
      </c>
      <c r="HO1" s="32" t="s">
        <v>14</v>
      </c>
      <c r="HP1" s="32" t="s">
        <v>21</v>
      </c>
      <c r="HQ1" s="32" t="s">
        <v>19</v>
      </c>
      <c r="HR1" s="32" t="s">
        <v>12</v>
      </c>
      <c r="HS1" s="32" t="s">
        <v>50</v>
      </c>
    </row>
    <row r="2" spans="1:227" ht="15.75" x14ac:dyDescent="0.25">
      <c r="A2" s="34">
        <f>'TEACHERS DETAILS'!A2</f>
        <v>1</v>
      </c>
      <c r="B2" s="34" t="str">
        <f>'TEACHERS DETAILS'!B2</f>
        <v>Mr.John</v>
      </c>
      <c r="C2" s="34">
        <f>'TEACHERS DETAILS'!E2</f>
        <v>35546</v>
      </c>
      <c r="D2" s="34" t="str">
        <f>'TEACHERS DETAILS'!L2</f>
        <v>DEGREE</v>
      </c>
      <c r="E2" s="34">
        <f>'TEACHERS DETAILS'!J2</f>
        <v>45143</v>
      </c>
      <c r="F2" s="34">
        <f>'TEACHERS DETAILS'!U2</f>
        <v>794884265</v>
      </c>
      <c r="G2" s="34" t="str">
        <f>'TEACHERS DETAILS'!C2</f>
        <v>Male</v>
      </c>
      <c r="H2" s="35"/>
      <c r="L2" s="60">
        <f>COUNTIF(G2:G30, "MALE")</f>
        <v>1</v>
      </c>
      <c r="M2" s="61">
        <f>COUNTIF(G2:G30, "FEMALE")</f>
        <v>0</v>
      </c>
      <c r="N2" s="36">
        <f>SUM(L2:M2)</f>
        <v>1</v>
      </c>
      <c r="R2" s="63">
        <f>'TEACHERS DETAILS'!A2</f>
        <v>1</v>
      </c>
      <c r="S2" s="63" t="str">
        <f>'TEACHERS DETAILS'!B2</f>
        <v>Mr.John</v>
      </c>
      <c r="T2" s="63">
        <f>'TEACHERS DETAILS'!E2</f>
        <v>35546</v>
      </c>
      <c r="U2" s="63" t="str">
        <f>'TEACHERS DETAILS'!L2</f>
        <v>DEGREE</v>
      </c>
      <c r="V2" s="63">
        <f>'TEACHERS DETAILS'!I2</f>
        <v>556664</v>
      </c>
      <c r="W2" s="63">
        <f>'TEACHERS DETAILS'!U2</f>
        <v>794884265</v>
      </c>
      <c r="Y2" s="65">
        <f>'TEACHERS DETAILS'!A3</f>
        <v>2</v>
      </c>
      <c r="Z2" s="65">
        <f>'TEACHERS DETAILS'!B3</f>
        <v>0</v>
      </c>
      <c r="AA2" s="65">
        <f>'TEACHERS DETAILS'!E3</f>
        <v>0</v>
      </c>
      <c r="AB2" s="65">
        <f>'TEACHERS DETAILS'!L3</f>
        <v>0</v>
      </c>
      <c r="AC2" s="65">
        <f>'TEACHERS DETAILS'!I3</f>
        <v>0</v>
      </c>
      <c r="AD2" s="65">
        <f>'TEACHERS DETAILS'!U3</f>
        <v>0</v>
      </c>
      <c r="AF2" s="65">
        <f>'TEACHERS DETAILS'!A4</f>
        <v>3</v>
      </c>
      <c r="AG2" s="65">
        <f>'TEACHERS DETAILS'!B4</f>
        <v>0</v>
      </c>
      <c r="AH2" s="65">
        <f>'TEACHERS DETAILS'!E4</f>
        <v>0</v>
      </c>
      <c r="AI2" s="65">
        <f>'TEACHERS DETAILS'!L4</f>
        <v>0</v>
      </c>
      <c r="AJ2" s="65">
        <f>'TEACHERS DETAILS'!I4</f>
        <v>0</v>
      </c>
      <c r="AK2" s="65">
        <f>'TEACHERS DETAILS'!U4</f>
        <v>0</v>
      </c>
      <c r="AM2" s="65">
        <f>'TEACHERS DETAILS'!A5</f>
        <v>4</v>
      </c>
      <c r="AN2" s="65">
        <f>'TEACHERS DETAILS'!B5</f>
        <v>0</v>
      </c>
      <c r="AO2" s="65">
        <f>'TEACHERS DETAILS'!E5</f>
        <v>0</v>
      </c>
      <c r="AP2" s="65">
        <f>'TEACHERS DETAILS'!L5</f>
        <v>0</v>
      </c>
      <c r="AQ2" s="65">
        <f>'TEACHERS DETAILS'!I5</f>
        <v>0</v>
      </c>
      <c r="AR2" s="65">
        <f>'TEACHERS DETAILS'!U5</f>
        <v>0</v>
      </c>
      <c r="AT2" s="65">
        <f>'TEACHERS DETAILS'!A6</f>
        <v>5</v>
      </c>
      <c r="AU2" s="65">
        <f>'TEACHERS DETAILS'!B6</f>
        <v>0</v>
      </c>
      <c r="AV2" s="65">
        <f>'TEACHERS DETAILS'!E6</f>
        <v>0</v>
      </c>
      <c r="AW2" s="65">
        <f>'TEACHERS DETAILS'!L6</f>
        <v>0</v>
      </c>
      <c r="AX2" s="65">
        <f>'TEACHERS DETAILS'!I6</f>
        <v>0</v>
      </c>
      <c r="AY2" s="65">
        <f>'TEACHERS DETAILS'!U6</f>
        <v>0</v>
      </c>
      <c r="BA2" s="65">
        <f>'TEACHERS DETAILS'!A7</f>
        <v>6</v>
      </c>
      <c r="BB2" s="65">
        <f>'TEACHERS DETAILS'!B7</f>
        <v>0</v>
      </c>
      <c r="BC2" s="65">
        <f>'TEACHERS DETAILS'!E7</f>
        <v>0</v>
      </c>
      <c r="BD2" s="65">
        <f>'TEACHERS DETAILS'!L7</f>
        <v>0</v>
      </c>
      <c r="BE2" s="65">
        <f>'TEACHERS DETAILS'!I7</f>
        <v>0</v>
      </c>
      <c r="BF2" s="65">
        <f>'TEACHERS DETAILS'!U7</f>
        <v>0</v>
      </c>
      <c r="BH2" s="65">
        <f>'TEACHERS DETAILS'!A8</f>
        <v>7</v>
      </c>
      <c r="BI2" s="65">
        <f>'TEACHERS DETAILS'!B8</f>
        <v>0</v>
      </c>
      <c r="BJ2" s="65">
        <f>'TEACHERS DETAILS'!E8</f>
        <v>0</v>
      </c>
      <c r="BK2" s="65">
        <f>'TEACHERS DETAILS'!L8</f>
        <v>0</v>
      </c>
      <c r="BL2" s="65">
        <f>'TEACHERS DETAILS'!I8</f>
        <v>0</v>
      </c>
      <c r="BM2" s="65">
        <f>'TEACHERS DETAILS'!U8</f>
        <v>0</v>
      </c>
      <c r="BO2" s="65">
        <f>'TEACHERS DETAILS'!A9</f>
        <v>8</v>
      </c>
      <c r="BP2" s="65">
        <f>'TEACHERS DETAILS'!B9</f>
        <v>0</v>
      </c>
      <c r="BQ2" s="65">
        <f>'TEACHERS DETAILS'!E9</f>
        <v>0</v>
      </c>
      <c r="BR2" s="65">
        <f>'TEACHERS DETAILS'!L9</f>
        <v>0</v>
      </c>
      <c r="BS2" s="65">
        <f>'TEACHERS DETAILS'!I9</f>
        <v>0</v>
      </c>
      <c r="BT2" s="65">
        <f>'TEACHERS DETAILS'!U9</f>
        <v>0</v>
      </c>
      <c r="BV2" s="65">
        <f>'TEACHERS DETAILS'!A10</f>
        <v>9</v>
      </c>
      <c r="BW2" s="65">
        <f>'TEACHERS DETAILS'!B10</f>
        <v>0</v>
      </c>
      <c r="BX2" s="65">
        <f>'TEACHERS DETAILS'!E10</f>
        <v>0</v>
      </c>
      <c r="BY2" s="65">
        <f>'TEACHERS DETAILS'!L10</f>
        <v>0</v>
      </c>
      <c r="BZ2" s="65">
        <f>'TEACHERS DETAILS'!I10</f>
        <v>0</v>
      </c>
      <c r="CA2" s="65">
        <f>'TEACHERS DETAILS'!U10</f>
        <v>0</v>
      </c>
      <c r="CC2" s="65">
        <f>'TEACHERS DETAILS'!A11</f>
        <v>10</v>
      </c>
      <c r="CD2" s="65">
        <f>'TEACHERS DETAILS'!B11</f>
        <v>0</v>
      </c>
      <c r="CE2" s="65">
        <f>'TEACHERS DETAILS'!E11</f>
        <v>0</v>
      </c>
      <c r="CF2" s="65">
        <f>'TEACHERS DETAILS'!L11</f>
        <v>0</v>
      </c>
      <c r="CG2" s="65">
        <f>'TEACHERS DETAILS'!I11</f>
        <v>0</v>
      </c>
      <c r="CH2" s="65">
        <f>'TEACHERS DETAILS'!U11</f>
        <v>0</v>
      </c>
      <c r="CJ2" s="65">
        <f>'TEACHERS DETAILS'!A12</f>
        <v>11</v>
      </c>
      <c r="CK2" s="65">
        <f>'TEACHERS DETAILS'!B12</f>
        <v>0</v>
      </c>
      <c r="CL2" s="65">
        <f>'TEACHERS DETAILS'!E12</f>
        <v>0</v>
      </c>
      <c r="CM2" s="65">
        <f>'TEACHERS DETAILS'!L12</f>
        <v>0</v>
      </c>
      <c r="CN2" s="65">
        <f>'TEACHERS DETAILS'!I12</f>
        <v>0</v>
      </c>
      <c r="CO2" s="65">
        <f>'TEACHERS DETAILS'!U12</f>
        <v>0</v>
      </c>
      <c r="CQ2" s="65">
        <f>'TEACHERS DETAILS'!A13</f>
        <v>12</v>
      </c>
      <c r="CR2" s="65">
        <f>'TEACHERS DETAILS'!B13</f>
        <v>0</v>
      </c>
      <c r="CS2" s="65">
        <f>'TEACHERS DETAILS'!E13</f>
        <v>0</v>
      </c>
      <c r="CT2" s="65">
        <f>'TEACHERS DETAILS'!L13</f>
        <v>0</v>
      </c>
      <c r="CU2" s="65">
        <f>'TEACHERS DETAILS'!I13</f>
        <v>0</v>
      </c>
      <c r="CV2" s="65">
        <f>'TEACHERS DETAILS'!U13</f>
        <v>0</v>
      </c>
      <c r="CX2" s="65">
        <f>'TEACHERS DETAILS'!A14</f>
        <v>13</v>
      </c>
      <c r="CY2" s="65">
        <f>'TEACHERS DETAILS'!B14</f>
        <v>0</v>
      </c>
      <c r="CZ2" s="65">
        <f>'TEACHERS DETAILS'!E14</f>
        <v>0</v>
      </c>
      <c r="DA2" s="65">
        <f>'TEACHERS DETAILS'!L14</f>
        <v>0</v>
      </c>
      <c r="DB2" s="65">
        <f>'TEACHERS DETAILS'!I14</f>
        <v>0</v>
      </c>
      <c r="DC2" s="65">
        <f>'TEACHERS DETAILS'!U14</f>
        <v>0</v>
      </c>
      <c r="DE2" s="65">
        <f>'TEACHERS DETAILS'!A15</f>
        <v>14</v>
      </c>
      <c r="DF2" s="65">
        <f>'TEACHERS DETAILS'!B15</f>
        <v>0</v>
      </c>
      <c r="DG2" s="65">
        <f>'TEACHERS DETAILS'!E15</f>
        <v>0</v>
      </c>
      <c r="DH2" s="65">
        <f>'TEACHERS DETAILS'!L15</f>
        <v>0</v>
      </c>
      <c r="DI2" s="65">
        <f>'TEACHERS DETAILS'!I15</f>
        <v>0</v>
      </c>
      <c r="DJ2" s="65">
        <f>'TEACHERS DETAILS'!U15</f>
        <v>0</v>
      </c>
      <c r="DL2" s="65">
        <f>'TEACHERS DETAILS'!A16</f>
        <v>15</v>
      </c>
      <c r="DM2" s="65">
        <f>'TEACHERS DETAILS'!B16</f>
        <v>0</v>
      </c>
      <c r="DN2" s="65">
        <f>'TEACHERS DETAILS'!E16</f>
        <v>0</v>
      </c>
      <c r="DO2" s="65">
        <f>'TEACHERS DETAILS'!L16</f>
        <v>0</v>
      </c>
      <c r="DP2" s="65">
        <f>'TEACHERS DETAILS'!I16</f>
        <v>0</v>
      </c>
      <c r="DQ2" s="65">
        <f>'TEACHERS DETAILS'!U16</f>
        <v>0</v>
      </c>
      <c r="DS2" s="64">
        <f>'TEACHERS DETAILS'!A17</f>
        <v>16</v>
      </c>
      <c r="DT2" s="64">
        <f>'TEACHERS DETAILS'!B17</f>
        <v>0</v>
      </c>
      <c r="DU2" s="64">
        <f>'TEACHERS DETAILS'!E17</f>
        <v>0</v>
      </c>
      <c r="DV2" s="64">
        <f>'TEACHERS DETAILS'!L17</f>
        <v>0</v>
      </c>
      <c r="DW2" s="64">
        <f>'TEACHERS DETAILS'!I17</f>
        <v>0</v>
      </c>
      <c r="DX2" s="64">
        <f>'TEACHERS DETAILS'!U17</f>
        <v>0</v>
      </c>
      <c r="DZ2" s="64">
        <f>'TEACHERS DETAILS'!A18</f>
        <v>17</v>
      </c>
      <c r="EA2" s="64">
        <f>'TEACHERS DETAILS'!B18</f>
        <v>0</v>
      </c>
      <c r="EB2" s="64">
        <f>'TEACHERS DETAILS'!E18</f>
        <v>0</v>
      </c>
      <c r="EC2" s="64">
        <f>'TEACHERS DETAILS'!L18</f>
        <v>0</v>
      </c>
      <c r="ED2" s="64">
        <f>'TEACHERS DETAILS'!I18</f>
        <v>0</v>
      </c>
      <c r="EE2" s="64">
        <f>'TEACHERS DETAILS'!U18</f>
        <v>0</v>
      </c>
      <c r="EG2" s="65">
        <f>'TEACHERS DETAILS'!A19</f>
        <v>18</v>
      </c>
      <c r="EH2" s="65">
        <f>'TEACHERS DETAILS'!B19</f>
        <v>0</v>
      </c>
      <c r="EI2" s="65">
        <f>'TEACHERS DETAILS'!E19</f>
        <v>0</v>
      </c>
      <c r="EJ2" s="65">
        <f>'TEACHERS DETAILS'!L19</f>
        <v>0</v>
      </c>
      <c r="EK2" s="65">
        <f>'TEACHERS DETAILS'!I19</f>
        <v>0</v>
      </c>
      <c r="EL2" s="65">
        <f>'TEACHERS DETAILS'!U19</f>
        <v>0</v>
      </c>
      <c r="EN2" s="65">
        <f>'TEACHERS DETAILS'!A20</f>
        <v>19</v>
      </c>
      <c r="EO2" s="65">
        <f>'TEACHERS DETAILS'!B20</f>
        <v>0</v>
      </c>
      <c r="EP2" s="65">
        <f>'TEACHERS DETAILS'!E20</f>
        <v>0</v>
      </c>
      <c r="EQ2" s="65">
        <f>'TEACHERS DETAILS'!L20</f>
        <v>0</v>
      </c>
      <c r="ER2" s="65">
        <f>'TEACHERS DETAILS'!I20</f>
        <v>0</v>
      </c>
      <c r="ES2" s="65">
        <f>'TEACHERS DETAILS'!U20</f>
        <v>0</v>
      </c>
      <c r="EU2" s="65">
        <f>'TEACHERS DETAILS'!A21</f>
        <v>20</v>
      </c>
      <c r="EV2" s="65">
        <f>'TEACHERS DETAILS'!B21</f>
        <v>0</v>
      </c>
      <c r="EW2" s="65">
        <f>'TEACHERS DETAILS'!E21</f>
        <v>0</v>
      </c>
      <c r="EX2" s="65">
        <f>'TEACHERS DETAILS'!L21</f>
        <v>0</v>
      </c>
      <c r="EY2" s="65">
        <f>'TEACHERS DETAILS'!I21</f>
        <v>0</v>
      </c>
      <c r="EZ2" s="65">
        <f>'TEACHERS DETAILS'!U21</f>
        <v>0</v>
      </c>
      <c r="FB2" s="65">
        <f>'TEACHERS DETAILS'!A22</f>
        <v>21</v>
      </c>
      <c r="FC2" s="65">
        <f>'TEACHERS DETAILS'!B22</f>
        <v>0</v>
      </c>
      <c r="FD2" s="65">
        <f>'TEACHERS DETAILS'!E22</f>
        <v>0</v>
      </c>
      <c r="FE2" s="65">
        <f>'TEACHERS DETAILS'!L22</f>
        <v>0</v>
      </c>
      <c r="FF2" s="65">
        <f>'TEACHERS DETAILS'!I22</f>
        <v>0</v>
      </c>
      <c r="FG2" s="65">
        <f>'TEACHERS DETAILS'!U22</f>
        <v>0</v>
      </c>
      <c r="FI2" s="65">
        <f>'TEACHERS DETAILS'!A23</f>
        <v>22</v>
      </c>
      <c r="FJ2" s="65">
        <f>'TEACHERS DETAILS'!B23</f>
        <v>0</v>
      </c>
      <c r="FK2" s="65">
        <f>'TEACHERS DETAILS'!E23</f>
        <v>0</v>
      </c>
      <c r="FL2" s="65">
        <f>'TEACHERS DETAILS'!L23</f>
        <v>0</v>
      </c>
      <c r="FM2" s="65">
        <f>'TEACHERS DETAILS'!I23</f>
        <v>0</v>
      </c>
      <c r="FN2" s="65">
        <f>'TEACHERS DETAILS'!U23</f>
        <v>0</v>
      </c>
      <c r="FP2" s="65">
        <f>'TEACHERS DETAILS'!A24</f>
        <v>23</v>
      </c>
      <c r="FQ2" s="65">
        <f>'TEACHERS DETAILS'!B24</f>
        <v>0</v>
      </c>
      <c r="FR2" s="65">
        <f>'TEACHERS DETAILS'!E24</f>
        <v>0</v>
      </c>
      <c r="FS2" s="65">
        <f>'TEACHERS DETAILS'!L24</f>
        <v>0</v>
      </c>
      <c r="FT2" s="65">
        <f>'TEACHERS DETAILS'!I24</f>
        <v>0</v>
      </c>
      <c r="FU2" s="65">
        <f>'TEACHERS DETAILS'!U24</f>
        <v>0</v>
      </c>
      <c r="FW2" s="65">
        <f>'TEACHERS DETAILS'!A25</f>
        <v>24</v>
      </c>
      <c r="FX2" s="65">
        <f>'TEACHERS DETAILS'!B25</f>
        <v>0</v>
      </c>
      <c r="FY2" s="65">
        <f>'TEACHERS DETAILS'!E25</f>
        <v>0</v>
      </c>
      <c r="FZ2" s="65">
        <f>'TEACHERS DETAILS'!L25</f>
        <v>0</v>
      </c>
      <c r="GA2" s="65">
        <f>'TEACHERS DETAILS'!I25</f>
        <v>0</v>
      </c>
      <c r="GB2" s="65">
        <f>'TEACHERS DETAILS'!U25</f>
        <v>0</v>
      </c>
      <c r="GD2" s="65">
        <f>'TEACHERS DETAILS'!A26</f>
        <v>25</v>
      </c>
      <c r="GE2" s="65">
        <f>'TEACHERS DETAILS'!B26</f>
        <v>0</v>
      </c>
      <c r="GF2" s="65">
        <f>'TEACHERS DETAILS'!E26</f>
        <v>0</v>
      </c>
      <c r="GG2" s="65">
        <f>'TEACHERS DETAILS'!L26</f>
        <v>0</v>
      </c>
      <c r="GH2" s="65">
        <f>'TEACHERS DETAILS'!I26</f>
        <v>0</v>
      </c>
      <c r="GI2" s="65">
        <f>'TEACHERS DETAILS'!U26</f>
        <v>0</v>
      </c>
      <c r="GK2" s="65">
        <f>'TEACHERS DETAILS'!A27</f>
        <v>26</v>
      </c>
      <c r="GL2" s="65">
        <f>'TEACHERS DETAILS'!B27</f>
        <v>0</v>
      </c>
      <c r="GM2" s="65">
        <f>'TEACHERS DETAILS'!E27</f>
        <v>0</v>
      </c>
      <c r="GN2" s="65">
        <f>'TEACHERS DETAILS'!L27</f>
        <v>0</v>
      </c>
      <c r="GO2" s="65">
        <f>'TEACHERS DETAILS'!I27</f>
        <v>0</v>
      </c>
      <c r="GP2" s="65">
        <f>'TEACHERS DETAILS'!U27</f>
        <v>0</v>
      </c>
      <c r="GR2" s="65">
        <f>'TEACHERS DETAILS'!A28</f>
        <v>27</v>
      </c>
      <c r="GS2" s="65">
        <f>'TEACHERS DETAILS'!B28</f>
        <v>0</v>
      </c>
      <c r="GT2" s="65">
        <f>'TEACHERS DETAILS'!E28</f>
        <v>0</v>
      </c>
      <c r="GU2" s="65">
        <f>'TEACHERS DETAILS'!L28</f>
        <v>0</v>
      </c>
      <c r="GV2" s="65">
        <f>'TEACHERS DETAILS'!I28</f>
        <v>0</v>
      </c>
      <c r="GW2" s="65">
        <f>'TEACHERS DETAILS'!U28</f>
        <v>0</v>
      </c>
      <c r="GY2" s="65">
        <f>'TEACHERS DETAILS'!A29</f>
        <v>28</v>
      </c>
      <c r="GZ2" s="65">
        <f>'TEACHERS DETAILS'!B29</f>
        <v>0</v>
      </c>
      <c r="HA2" s="65">
        <f>'TEACHERS DETAILS'!E29</f>
        <v>0</v>
      </c>
      <c r="HB2" s="65">
        <f>'TEACHERS DETAILS'!L29</f>
        <v>0</v>
      </c>
      <c r="HC2" s="65">
        <f>'TEACHERS DETAILS'!I29</f>
        <v>0</v>
      </c>
      <c r="HD2" s="65">
        <f>'TEACHERS DETAILS'!U29</f>
        <v>0</v>
      </c>
      <c r="HF2" s="65">
        <f>'TEACHERS DETAILS'!A30</f>
        <v>29</v>
      </c>
      <c r="HG2" s="65">
        <f>'TEACHERS DETAILS'!B30</f>
        <v>0</v>
      </c>
      <c r="HH2" s="65">
        <f>'TEACHERS DETAILS'!E30</f>
        <v>0</v>
      </c>
      <c r="HI2" s="65">
        <f>'TEACHERS DETAILS'!L30</f>
        <v>0</v>
      </c>
      <c r="HJ2" s="65">
        <f>'TEACHERS DETAILS'!I30</f>
        <v>0</v>
      </c>
      <c r="HK2" s="65">
        <f>'TEACHERS DETAILS'!U30</f>
        <v>0</v>
      </c>
    </row>
    <row r="3" spans="1:227" ht="15.75" x14ac:dyDescent="0.25">
      <c r="A3" s="34">
        <f>'TEACHERS DETAILS'!A3</f>
        <v>2</v>
      </c>
      <c r="B3" s="34">
        <f>'TEACHERS DETAILS'!B3</f>
        <v>0</v>
      </c>
      <c r="C3" s="34">
        <f>'TEACHERS DETAILS'!E3</f>
        <v>0</v>
      </c>
      <c r="D3" s="34">
        <f>'TEACHERS DETAILS'!L3</f>
        <v>0</v>
      </c>
      <c r="E3" s="34">
        <f>'TEACHERS DETAILS'!J3</f>
        <v>0</v>
      </c>
      <c r="F3" s="34">
        <f>'TEACHERS DETAILS'!U3</f>
        <v>0</v>
      </c>
      <c r="G3" s="34">
        <f>'TEACHERS DETAILS'!C3</f>
        <v>0</v>
      </c>
      <c r="H3" s="35"/>
      <c r="R3" s="63"/>
      <c r="S3" s="63"/>
      <c r="T3" s="63"/>
      <c r="U3" s="63"/>
      <c r="V3" s="63"/>
      <c r="W3" s="63"/>
      <c r="Y3" s="65"/>
      <c r="Z3" s="65"/>
      <c r="AA3" s="65"/>
      <c r="AB3" s="65"/>
      <c r="AC3" s="65"/>
      <c r="AD3" s="65"/>
      <c r="AF3" s="65"/>
      <c r="AG3" s="65"/>
      <c r="AH3" s="65"/>
      <c r="AI3" s="65"/>
      <c r="AJ3" s="65"/>
      <c r="AK3" s="65"/>
      <c r="AM3" s="65"/>
      <c r="AN3" s="65"/>
      <c r="AO3" s="65"/>
      <c r="AP3" s="65"/>
      <c r="AQ3" s="65"/>
      <c r="AR3" s="65"/>
      <c r="AT3" s="65"/>
      <c r="AU3" s="65"/>
      <c r="AV3" s="65"/>
      <c r="AW3" s="65"/>
      <c r="AX3" s="65"/>
      <c r="AY3" s="65"/>
      <c r="BA3" s="65"/>
      <c r="BB3" s="65"/>
      <c r="BC3" s="65"/>
      <c r="BD3" s="65"/>
      <c r="BE3" s="65"/>
      <c r="BF3" s="65"/>
      <c r="BH3" s="65"/>
      <c r="BI3" s="65"/>
      <c r="BJ3" s="65"/>
      <c r="BK3" s="65"/>
      <c r="BL3" s="65"/>
      <c r="BM3" s="65"/>
      <c r="BO3" s="65"/>
      <c r="BP3" s="65"/>
      <c r="BQ3" s="65"/>
      <c r="BR3" s="65"/>
      <c r="BS3" s="65"/>
      <c r="BT3" s="65"/>
      <c r="BV3" s="65"/>
      <c r="BW3" s="65"/>
      <c r="BX3" s="65"/>
      <c r="BY3" s="65"/>
      <c r="BZ3" s="65"/>
      <c r="CA3" s="65"/>
      <c r="CC3" s="65"/>
      <c r="CD3" s="65"/>
      <c r="CE3" s="65"/>
      <c r="CF3" s="65"/>
      <c r="CG3" s="65"/>
      <c r="CH3" s="65"/>
      <c r="CJ3" s="65"/>
      <c r="CK3" s="65"/>
      <c r="CL3" s="65"/>
      <c r="CM3" s="65"/>
      <c r="CN3" s="65"/>
      <c r="CO3" s="65"/>
      <c r="CQ3" s="65"/>
      <c r="CR3" s="65"/>
      <c r="CS3" s="65"/>
      <c r="CT3" s="65"/>
      <c r="CU3" s="65"/>
      <c r="CV3" s="65"/>
      <c r="CX3" s="65"/>
      <c r="CY3" s="65"/>
      <c r="CZ3" s="65"/>
      <c r="DA3" s="65"/>
      <c r="DB3" s="65"/>
      <c r="DC3" s="65"/>
      <c r="DE3" s="65"/>
      <c r="DF3" s="65"/>
      <c r="DG3" s="65"/>
      <c r="DH3" s="65"/>
      <c r="DI3" s="65"/>
      <c r="DJ3" s="65"/>
      <c r="DL3" s="65"/>
      <c r="DM3" s="65"/>
      <c r="DN3" s="65"/>
      <c r="DO3" s="65"/>
      <c r="DP3" s="65"/>
      <c r="DQ3" s="65"/>
      <c r="DS3" s="64"/>
      <c r="DT3" s="64"/>
      <c r="DU3" s="64"/>
      <c r="DV3" s="64"/>
      <c r="DW3" s="64"/>
      <c r="DX3" s="64"/>
      <c r="DZ3" s="64"/>
      <c r="EA3" s="64"/>
      <c r="EB3" s="64"/>
      <c r="EC3" s="64"/>
      <c r="ED3" s="64"/>
      <c r="EE3" s="64"/>
      <c r="EG3" s="65"/>
      <c r="EH3" s="65"/>
      <c r="EI3" s="65"/>
      <c r="EJ3" s="65"/>
      <c r="EK3" s="65"/>
      <c r="EL3" s="65"/>
      <c r="EN3" s="65"/>
      <c r="EO3" s="65"/>
      <c r="EP3" s="65"/>
      <c r="EQ3" s="65"/>
      <c r="ER3" s="65"/>
      <c r="ES3" s="65"/>
      <c r="EU3" s="65"/>
      <c r="EV3" s="65"/>
      <c r="EW3" s="65"/>
      <c r="EX3" s="65"/>
      <c r="EY3" s="65"/>
      <c r="EZ3" s="65"/>
      <c r="FB3" s="65"/>
      <c r="FC3" s="65"/>
      <c r="FD3" s="65"/>
      <c r="FE3" s="65"/>
      <c r="FF3" s="65"/>
      <c r="FG3" s="65"/>
      <c r="FI3" s="65"/>
      <c r="FJ3" s="65"/>
      <c r="FK3" s="65"/>
      <c r="FL3" s="65"/>
      <c r="FM3" s="65"/>
      <c r="FN3" s="65"/>
      <c r="FP3" s="65"/>
      <c r="FQ3" s="65"/>
      <c r="FR3" s="65"/>
      <c r="FS3" s="65"/>
      <c r="FT3" s="65"/>
      <c r="FU3" s="65"/>
      <c r="FW3" s="65"/>
      <c r="FX3" s="65"/>
      <c r="FY3" s="65"/>
      <c r="FZ3" s="65"/>
      <c r="GA3" s="65"/>
      <c r="GB3" s="65"/>
      <c r="GD3" s="65"/>
      <c r="GE3" s="65"/>
      <c r="GF3" s="65"/>
      <c r="GG3" s="65"/>
      <c r="GH3" s="65"/>
      <c r="GI3" s="65"/>
      <c r="GK3" s="65"/>
      <c r="GL3" s="65"/>
      <c r="GM3" s="65"/>
      <c r="GN3" s="65"/>
      <c r="GO3" s="65"/>
      <c r="GP3" s="65"/>
      <c r="GR3" s="65"/>
      <c r="GS3" s="65"/>
      <c r="GT3" s="65"/>
      <c r="GU3" s="65"/>
      <c r="GV3" s="65"/>
      <c r="GW3" s="65"/>
      <c r="GY3" s="65"/>
      <c r="GZ3" s="65"/>
      <c r="HA3" s="65"/>
      <c r="HB3" s="65"/>
      <c r="HC3" s="65"/>
      <c r="HD3" s="65"/>
      <c r="HF3" s="65"/>
      <c r="HG3" s="65"/>
      <c r="HH3" s="65"/>
      <c r="HI3" s="65"/>
      <c r="HJ3" s="65"/>
      <c r="HK3" s="65"/>
    </row>
    <row r="4" spans="1:227" ht="16.5" customHeight="1" x14ac:dyDescent="0.25">
      <c r="A4" s="34">
        <f>'TEACHERS DETAILS'!A4</f>
        <v>3</v>
      </c>
      <c r="B4" s="34">
        <f>'TEACHERS DETAILS'!B4</f>
        <v>0</v>
      </c>
      <c r="C4" s="34">
        <f>'TEACHERS DETAILS'!E4</f>
        <v>0</v>
      </c>
      <c r="D4" s="34">
        <f>'TEACHERS DETAILS'!L4</f>
        <v>0</v>
      </c>
      <c r="E4" s="34">
        <f>'TEACHERS DETAILS'!J4</f>
        <v>0</v>
      </c>
      <c r="F4" s="34">
        <f>'TEACHERS DETAILS'!U4</f>
        <v>0</v>
      </c>
      <c r="G4" s="34">
        <f>'TEACHERS DETAILS'!C4</f>
        <v>0</v>
      </c>
      <c r="H4" s="35"/>
      <c r="R4" s="63"/>
      <c r="S4" s="63"/>
      <c r="T4" s="63"/>
      <c r="U4" s="63"/>
      <c r="V4" s="63"/>
      <c r="W4" s="63"/>
      <c r="Y4" s="65"/>
      <c r="Z4" s="65"/>
      <c r="AA4" s="65"/>
      <c r="AB4" s="65"/>
      <c r="AC4" s="65"/>
      <c r="AD4" s="65"/>
      <c r="AF4" s="65"/>
      <c r="AG4" s="65"/>
      <c r="AH4" s="65"/>
      <c r="AI4" s="65"/>
      <c r="AJ4" s="65"/>
      <c r="AK4" s="65"/>
      <c r="AM4" s="65"/>
      <c r="AN4" s="65"/>
      <c r="AO4" s="65"/>
      <c r="AP4" s="65"/>
      <c r="AQ4" s="65"/>
      <c r="AR4" s="65"/>
      <c r="AT4" s="65"/>
      <c r="AU4" s="65"/>
      <c r="AV4" s="65"/>
      <c r="AW4" s="65"/>
      <c r="AX4" s="65"/>
      <c r="AY4" s="65"/>
      <c r="BA4" s="65"/>
      <c r="BB4" s="65"/>
      <c r="BC4" s="65"/>
      <c r="BD4" s="65"/>
      <c r="BE4" s="65"/>
      <c r="BF4" s="65"/>
      <c r="BH4" s="65"/>
      <c r="BI4" s="65"/>
      <c r="BJ4" s="65"/>
      <c r="BK4" s="65"/>
      <c r="BL4" s="65"/>
      <c r="BM4" s="65"/>
      <c r="BO4" s="65"/>
      <c r="BP4" s="65"/>
      <c r="BQ4" s="65"/>
      <c r="BR4" s="65"/>
      <c r="BS4" s="65"/>
      <c r="BT4" s="65"/>
      <c r="BV4" s="65"/>
      <c r="BW4" s="65"/>
      <c r="BX4" s="65"/>
      <c r="BY4" s="65"/>
      <c r="BZ4" s="65"/>
      <c r="CA4" s="65"/>
      <c r="CC4" s="65"/>
      <c r="CD4" s="65"/>
      <c r="CE4" s="65"/>
      <c r="CF4" s="65"/>
      <c r="CG4" s="65"/>
      <c r="CH4" s="65"/>
      <c r="CJ4" s="65"/>
      <c r="CK4" s="65"/>
      <c r="CL4" s="65"/>
      <c r="CM4" s="65"/>
      <c r="CN4" s="65"/>
      <c r="CO4" s="65"/>
      <c r="CQ4" s="65"/>
      <c r="CR4" s="65"/>
      <c r="CS4" s="65"/>
      <c r="CT4" s="65"/>
      <c r="CU4" s="65"/>
      <c r="CV4" s="65"/>
      <c r="CX4" s="65"/>
      <c r="CY4" s="65"/>
      <c r="CZ4" s="65"/>
      <c r="DA4" s="65"/>
      <c r="DB4" s="65"/>
      <c r="DC4" s="65"/>
      <c r="DE4" s="65"/>
      <c r="DF4" s="65"/>
      <c r="DG4" s="65"/>
      <c r="DH4" s="65"/>
      <c r="DI4" s="65"/>
      <c r="DJ4" s="65"/>
      <c r="DL4" s="65"/>
      <c r="DM4" s="65"/>
      <c r="DN4" s="65"/>
      <c r="DO4" s="65"/>
      <c r="DP4" s="65"/>
      <c r="DQ4" s="65"/>
      <c r="DS4" s="64"/>
      <c r="DT4" s="64"/>
      <c r="DU4" s="64"/>
      <c r="DV4" s="64"/>
      <c r="DW4" s="64"/>
      <c r="DX4" s="64"/>
      <c r="DZ4" s="64"/>
      <c r="EA4" s="64"/>
      <c r="EB4" s="64"/>
      <c r="EC4" s="64"/>
      <c r="ED4" s="64"/>
      <c r="EE4" s="64"/>
      <c r="EG4" s="65"/>
      <c r="EH4" s="65"/>
      <c r="EI4" s="65"/>
      <c r="EJ4" s="65"/>
      <c r="EK4" s="65"/>
      <c r="EL4" s="65"/>
      <c r="EN4" s="65"/>
      <c r="EO4" s="65"/>
      <c r="EP4" s="65"/>
      <c r="EQ4" s="65"/>
      <c r="ER4" s="65"/>
      <c r="ES4" s="65"/>
      <c r="EU4" s="65"/>
      <c r="EV4" s="65"/>
      <c r="EW4" s="65"/>
      <c r="EX4" s="65"/>
      <c r="EY4" s="65"/>
      <c r="EZ4" s="65"/>
      <c r="FB4" s="65"/>
      <c r="FC4" s="65"/>
      <c r="FD4" s="65"/>
      <c r="FE4" s="65"/>
      <c r="FF4" s="65"/>
      <c r="FG4" s="65"/>
      <c r="FI4" s="65"/>
      <c r="FJ4" s="65"/>
      <c r="FK4" s="65"/>
      <c r="FL4" s="65"/>
      <c r="FM4" s="65"/>
      <c r="FN4" s="65"/>
      <c r="FP4" s="65"/>
      <c r="FQ4" s="65"/>
      <c r="FR4" s="65"/>
      <c r="FS4" s="65"/>
      <c r="FT4" s="65"/>
      <c r="FU4" s="65"/>
      <c r="FW4" s="65"/>
      <c r="FX4" s="65"/>
      <c r="FY4" s="65"/>
      <c r="FZ4" s="65"/>
      <c r="GA4" s="65"/>
      <c r="GB4" s="65"/>
      <c r="GD4" s="65"/>
      <c r="GE4" s="65"/>
      <c r="GF4" s="65"/>
      <c r="GG4" s="65"/>
      <c r="GH4" s="65"/>
      <c r="GI4" s="65"/>
      <c r="GK4" s="65"/>
      <c r="GL4" s="65"/>
      <c r="GM4" s="65"/>
      <c r="GN4" s="65"/>
      <c r="GO4" s="65"/>
      <c r="GP4" s="65"/>
      <c r="GR4" s="65"/>
      <c r="GS4" s="65"/>
      <c r="GT4" s="65"/>
      <c r="GU4" s="65"/>
      <c r="GV4" s="65"/>
      <c r="GW4" s="65"/>
      <c r="GY4" s="65"/>
      <c r="GZ4" s="65"/>
      <c r="HA4" s="65"/>
      <c r="HB4" s="65"/>
      <c r="HC4" s="65"/>
      <c r="HD4" s="65"/>
      <c r="HF4" s="65"/>
      <c r="HG4" s="65"/>
      <c r="HH4" s="65"/>
      <c r="HI4" s="65"/>
      <c r="HJ4" s="65"/>
      <c r="HK4" s="65"/>
    </row>
    <row r="5" spans="1:227" ht="15.75" x14ac:dyDescent="0.25">
      <c r="A5" s="34">
        <f>'TEACHERS DETAILS'!A5</f>
        <v>4</v>
      </c>
      <c r="B5" s="34">
        <f>'TEACHERS DETAILS'!B5</f>
        <v>0</v>
      </c>
      <c r="C5" s="34">
        <f>'TEACHERS DETAILS'!E5</f>
        <v>0</v>
      </c>
      <c r="D5" s="34">
        <f>'TEACHERS DETAILS'!L5</f>
        <v>0</v>
      </c>
      <c r="E5" s="34">
        <f>'TEACHERS DETAILS'!J5</f>
        <v>0</v>
      </c>
      <c r="F5" s="34">
        <f>'TEACHERS DETAILS'!U5</f>
        <v>0</v>
      </c>
      <c r="G5" s="34">
        <f>'TEACHERS DETAILS'!C5</f>
        <v>0</v>
      </c>
      <c r="H5" s="35"/>
      <c r="R5" s="63"/>
      <c r="S5" s="63"/>
      <c r="T5" s="63"/>
      <c r="U5" s="63"/>
      <c r="V5" s="63"/>
      <c r="W5" s="63"/>
      <c r="Y5" s="65"/>
      <c r="Z5" s="65"/>
      <c r="AA5" s="65"/>
      <c r="AB5" s="65"/>
      <c r="AC5" s="65"/>
      <c r="AD5" s="65"/>
      <c r="AF5" s="65"/>
      <c r="AG5" s="65"/>
      <c r="AH5" s="65"/>
      <c r="AI5" s="65"/>
      <c r="AJ5" s="65"/>
      <c r="AK5" s="65"/>
      <c r="AM5" s="65"/>
      <c r="AN5" s="65"/>
      <c r="AO5" s="65"/>
      <c r="AP5" s="65"/>
      <c r="AQ5" s="65"/>
      <c r="AR5" s="65"/>
      <c r="AT5" s="65"/>
      <c r="AU5" s="65"/>
      <c r="AV5" s="65"/>
      <c r="AW5" s="65"/>
      <c r="AX5" s="65"/>
      <c r="AY5" s="65"/>
      <c r="BA5" s="65"/>
      <c r="BB5" s="65"/>
      <c r="BC5" s="65"/>
      <c r="BD5" s="65"/>
      <c r="BE5" s="65"/>
      <c r="BF5" s="65"/>
      <c r="BH5" s="65"/>
      <c r="BI5" s="65"/>
      <c r="BJ5" s="65"/>
      <c r="BK5" s="65"/>
      <c r="BL5" s="65"/>
      <c r="BM5" s="65"/>
      <c r="BO5" s="65"/>
      <c r="BP5" s="65"/>
      <c r="BQ5" s="65"/>
      <c r="BR5" s="65"/>
      <c r="BS5" s="65"/>
      <c r="BT5" s="65"/>
      <c r="BV5" s="65"/>
      <c r="BW5" s="65"/>
      <c r="BX5" s="65"/>
      <c r="BY5" s="65"/>
      <c r="BZ5" s="65"/>
      <c r="CA5" s="65"/>
      <c r="CC5" s="65"/>
      <c r="CD5" s="65"/>
      <c r="CE5" s="65"/>
      <c r="CF5" s="65"/>
      <c r="CG5" s="65"/>
      <c r="CH5" s="65"/>
      <c r="CJ5" s="65"/>
      <c r="CK5" s="65"/>
      <c r="CL5" s="65"/>
      <c r="CM5" s="65"/>
      <c r="CN5" s="65"/>
      <c r="CO5" s="65"/>
      <c r="CQ5" s="65"/>
      <c r="CR5" s="65"/>
      <c r="CS5" s="65"/>
      <c r="CT5" s="65"/>
      <c r="CU5" s="65"/>
      <c r="CV5" s="65"/>
      <c r="CX5" s="65"/>
      <c r="CY5" s="65"/>
      <c r="CZ5" s="65"/>
      <c r="DA5" s="65"/>
      <c r="DB5" s="65"/>
      <c r="DC5" s="65"/>
      <c r="DE5" s="65"/>
      <c r="DF5" s="65"/>
      <c r="DG5" s="65"/>
      <c r="DH5" s="65"/>
      <c r="DI5" s="65"/>
      <c r="DJ5" s="65"/>
      <c r="DL5" s="65"/>
      <c r="DM5" s="65"/>
      <c r="DN5" s="65"/>
      <c r="DO5" s="65"/>
      <c r="DP5" s="65"/>
      <c r="DQ5" s="65"/>
      <c r="DS5" s="64"/>
      <c r="DT5" s="64"/>
      <c r="DU5" s="64"/>
      <c r="DV5" s="64"/>
      <c r="DW5" s="64"/>
      <c r="DX5" s="64"/>
      <c r="DZ5" s="64"/>
      <c r="EA5" s="64"/>
      <c r="EB5" s="64"/>
      <c r="EC5" s="64"/>
      <c r="ED5" s="64"/>
      <c r="EE5" s="64"/>
      <c r="EG5" s="65"/>
      <c r="EH5" s="65"/>
      <c r="EI5" s="65"/>
      <c r="EJ5" s="65"/>
      <c r="EK5" s="65"/>
      <c r="EL5" s="65"/>
      <c r="EN5" s="65"/>
      <c r="EO5" s="65"/>
      <c r="EP5" s="65"/>
      <c r="EQ5" s="65"/>
      <c r="ER5" s="65"/>
      <c r="ES5" s="65"/>
      <c r="EU5" s="65"/>
      <c r="EV5" s="65"/>
      <c r="EW5" s="65"/>
      <c r="EX5" s="65"/>
      <c r="EY5" s="65"/>
      <c r="EZ5" s="65"/>
      <c r="FB5" s="65"/>
      <c r="FC5" s="65"/>
      <c r="FD5" s="65"/>
      <c r="FE5" s="65"/>
      <c r="FF5" s="65"/>
      <c r="FG5" s="65"/>
      <c r="FI5" s="65"/>
      <c r="FJ5" s="65"/>
      <c r="FK5" s="65"/>
      <c r="FL5" s="65"/>
      <c r="FM5" s="65"/>
      <c r="FN5" s="65"/>
      <c r="FP5" s="65"/>
      <c r="FQ5" s="65"/>
      <c r="FR5" s="65"/>
      <c r="FS5" s="65"/>
      <c r="FT5" s="65"/>
      <c r="FU5" s="65"/>
      <c r="FW5" s="65"/>
      <c r="FX5" s="65"/>
      <c r="FY5" s="65"/>
      <c r="FZ5" s="65"/>
      <c r="GA5" s="65"/>
      <c r="GB5" s="65"/>
      <c r="GD5" s="65"/>
      <c r="GE5" s="65"/>
      <c r="GF5" s="65"/>
      <c r="GG5" s="65"/>
      <c r="GH5" s="65"/>
      <c r="GI5" s="65"/>
      <c r="GK5" s="65"/>
      <c r="GL5" s="65"/>
      <c r="GM5" s="65"/>
      <c r="GN5" s="65"/>
      <c r="GO5" s="65"/>
      <c r="GP5" s="65"/>
      <c r="GR5" s="65"/>
      <c r="GS5" s="65"/>
      <c r="GT5" s="65"/>
      <c r="GU5" s="65"/>
      <c r="GV5" s="65"/>
      <c r="GW5" s="65"/>
      <c r="GY5" s="65"/>
      <c r="GZ5" s="65"/>
      <c r="HA5" s="65"/>
      <c r="HB5" s="65"/>
      <c r="HC5" s="65"/>
      <c r="HD5" s="65"/>
      <c r="HF5" s="65"/>
      <c r="HG5" s="65"/>
      <c r="HH5" s="65"/>
      <c r="HI5" s="65"/>
      <c r="HJ5" s="65"/>
      <c r="HK5" s="65"/>
    </row>
    <row r="6" spans="1:227" ht="15.75" x14ac:dyDescent="0.25">
      <c r="A6" s="34">
        <f>'TEACHERS DETAILS'!A6</f>
        <v>5</v>
      </c>
      <c r="B6" s="34">
        <f>'TEACHERS DETAILS'!B6</f>
        <v>0</v>
      </c>
      <c r="C6" s="34">
        <f>'TEACHERS DETAILS'!E6</f>
        <v>0</v>
      </c>
      <c r="D6" s="34">
        <f>'TEACHERS DETAILS'!L6</f>
        <v>0</v>
      </c>
      <c r="E6" s="34">
        <f>'TEACHERS DETAILS'!J6</f>
        <v>0</v>
      </c>
      <c r="F6" s="34">
        <f>'TEACHERS DETAILS'!U6</f>
        <v>0</v>
      </c>
      <c r="G6" s="34">
        <f>'TEACHERS DETAILS'!C6</f>
        <v>0</v>
      </c>
      <c r="H6" s="35"/>
      <c r="R6" s="63"/>
      <c r="S6" s="63"/>
      <c r="T6" s="63"/>
      <c r="U6" s="63"/>
      <c r="V6" s="63"/>
      <c r="W6" s="63"/>
      <c r="Y6" s="65"/>
      <c r="Z6" s="65"/>
      <c r="AA6" s="65"/>
      <c r="AB6" s="65"/>
      <c r="AC6" s="65"/>
      <c r="AD6" s="65"/>
      <c r="AF6" s="65"/>
      <c r="AG6" s="65"/>
      <c r="AH6" s="65"/>
      <c r="AI6" s="65"/>
      <c r="AJ6" s="65"/>
      <c r="AK6" s="65"/>
      <c r="AM6" s="65"/>
      <c r="AN6" s="65"/>
      <c r="AO6" s="65"/>
      <c r="AP6" s="65"/>
      <c r="AQ6" s="65"/>
      <c r="AR6" s="65"/>
      <c r="AT6" s="65"/>
      <c r="AU6" s="65"/>
      <c r="AV6" s="65"/>
      <c r="AW6" s="65"/>
      <c r="AX6" s="65"/>
      <c r="AY6" s="65"/>
      <c r="BA6" s="65"/>
      <c r="BB6" s="65"/>
      <c r="BC6" s="65"/>
      <c r="BD6" s="65"/>
      <c r="BE6" s="65"/>
      <c r="BF6" s="65"/>
      <c r="BH6" s="65"/>
      <c r="BI6" s="65"/>
      <c r="BJ6" s="65"/>
      <c r="BK6" s="65"/>
      <c r="BL6" s="65"/>
      <c r="BM6" s="65"/>
      <c r="BO6" s="65"/>
      <c r="BP6" s="65"/>
      <c r="BQ6" s="65"/>
      <c r="BR6" s="65"/>
      <c r="BS6" s="65"/>
      <c r="BT6" s="65"/>
      <c r="BV6" s="65"/>
      <c r="BW6" s="65"/>
      <c r="BX6" s="65"/>
      <c r="BY6" s="65"/>
      <c r="BZ6" s="65"/>
      <c r="CA6" s="65"/>
      <c r="CC6" s="65"/>
      <c r="CD6" s="65"/>
      <c r="CE6" s="65"/>
      <c r="CF6" s="65"/>
      <c r="CG6" s="65"/>
      <c r="CH6" s="65"/>
      <c r="CJ6" s="65"/>
      <c r="CK6" s="65"/>
      <c r="CL6" s="65"/>
      <c r="CM6" s="65"/>
      <c r="CN6" s="65"/>
      <c r="CO6" s="65"/>
      <c r="CQ6" s="65"/>
      <c r="CR6" s="65"/>
      <c r="CS6" s="65"/>
      <c r="CT6" s="65"/>
      <c r="CU6" s="65"/>
      <c r="CV6" s="65"/>
      <c r="CX6" s="65"/>
      <c r="CY6" s="65"/>
      <c r="CZ6" s="65"/>
      <c r="DA6" s="65"/>
      <c r="DB6" s="65"/>
      <c r="DC6" s="65"/>
      <c r="DE6" s="65"/>
      <c r="DF6" s="65"/>
      <c r="DG6" s="65"/>
      <c r="DH6" s="65"/>
      <c r="DI6" s="65"/>
      <c r="DJ6" s="65"/>
      <c r="DL6" s="65"/>
      <c r="DM6" s="65"/>
      <c r="DN6" s="65"/>
      <c r="DO6" s="65"/>
      <c r="DP6" s="65"/>
      <c r="DQ6" s="65"/>
      <c r="DS6" s="64"/>
      <c r="DT6" s="64"/>
      <c r="DU6" s="64"/>
      <c r="DV6" s="64"/>
      <c r="DW6" s="64"/>
      <c r="DX6" s="64"/>
      <c r="DZ6" s="64"/>
      <c r="EA6" s="64"/>
      <c r="EB6" s="64"/>
      <c r="EC6" s="64"/>
      <c r="ED6" s="64"/>
      <c r="EE6" s="64"/>
      <c r="EG6" s="65"/>
      <c r="EH6" s="65"/>
      <c r="EI6" s="65"/>
      <c r="EJ6" s="65"/>
      <c r="EK6" s="65"/>
      <c r="EL6" s="65"/>
      <c r="EN6" s="65"/>
      <c r="EO6" s="65"/>
      <c r="EP6" s="65"/>
      <c r="EQ6" s="65"/>
      <c r="ER6" s="65"/>
      <c r="ES6" s="65"/>
      <c r="EU6" s="65"/>
      <c r="EV6" s="65"/>
      <c r="EW6" s="65"/>
      <c r="EX6" s="65"/>
      <c r="EY6" s="65"/>
      <c r="EZ6" s="65"/>
      <c r="FB6" s="65"/>
      <c r="FC6" s="65"/>
      <c r="FD6" s="65"/>
      <c r="FE6" s="65"/>
      <c r="FF6" s="65"/>
      <c r="FG6" s="65"/>
      <c r="FI6" s="65"/>
      <c r="FJ6" s="65"/>
      <c r="FK6" s="65"/>
      <c r="FL6" s="65"/>
      <c r="FM6" s="65"/>
      <c r="FN6" s="65"/>
      <c r="FP6" s="65"/>
      <c r="FQ6" s="65"/>
      <c r="FR6" s="65"/>
      <c r="FS6" s="65"/>
      <c r="FT6" s="65"/>
      <c r="FU6" s="65"/>
      <c r="FW6" s="65"/>
      <c r="FX6" s="65"/>
      <c r="FY6" s="65"/>
      <c r="FZ6" s="65"/>
      <c r="GA6" s="65"/>
      <c r="GB6" s="65"/>
      <c r="GD6" s="65"/>
      <c r="GE6" s="65"/>
      <c r="GF6" s="65"/>
      <c r="GG6" s="65"/>
      <c r="GH6" s="65"/>
      <c r="GI6" s="65"/>
      <c r="GK6" s="65"/>
      <c r="GL6" s="65"/>
      <c r="GM6" s="65"/>
      <c r="GN6" s="65"/>
      <c r="GO6" s="65"/>
      <c r="GP6" s="65"/>
      <c r="GR6" s="65"/>
      <c r="GS6" s="65"/>
      <c r="GT6" s="65"/>
      <c r="GU6" s="65"/>
      <c r="GV6" s="65"/>
      <c r="GW6" s="65"/>
      <c r="GY6" s="65"/>
      <c r="GZ6" s="65"/>
      <c r="HA6" s="65"/>
      <c r="HB6" s="65"/>
      <c r="HC6" s="65"/>
      <c r="HD6" s="65"/>
      <c r="HF6" s="65"/>
      <c r="HG6" s="65"/>
      <c r="HH6" s="65"/>
      <c r="HI6" s="65"/>
      <c r="HJ6" s="65"/>
      <c r="HK6" s="65"/>
    </row>
    <row r="7" spans="1:227" ht="15.75" x14ac:dyDescent="0.25">
      <c r="A7" s="34">
        <f>'TEACHERS DETAILS'!A7</f>
        <v>6</v>
      </c>
      <c r="B7" s="34">
        <f>'TEACHERS DETAILS'!B7</f>
        <v>0</v>
      </c>
      <c r="C7" s="34">
        <f>'TEACHERS DETAILS'!E7</f>
        <v>0</v>
      </c>
      <c r="D7" s="34">
        <f>'TEACHERS DETAILS'!L7</f>
        <v>0</v>
      </c>
      <c r="E7" s="34">
        <f>'TEACHERS DETAILS'!J7</f>
        <v>0</v>
      </c>
      <c r="F7" s="34">
        <f>'TEACHERS DETAILS'!U7</f>
        <v>0</v>
      </c>
      <c r="G7" s="34">
        <f>'TEACHERS DETAILS'!C7</f>
        <v>0</v>
      </c>
      <c r="H7" s="35"/>
      <c r="R7" s="63"/>
      <c r="S7" s="63"/>
      <c r="T7" s="63"/>
      <c r="U7" s="63"/>
      <c r="V7" s="63"/>
      <c r="W7" s="63"/>
      <c r="Y7" s="65"/>
      <c r="Z7" s="65"/>
      <c r="AA7" s="65"/>
      <c r="AB7" s="65"/>
      <c r="AC7" s="65"/>
      <c r="AD7" s="65"/>
      <c r="AF7" s="65"/>
      <c r="AG7" s="65"/>
      <c r="AH7" s="65"/>
      <c r="AI7" s="65"/>
      <c r="AJ7" s="65"/>
      <c r="AK7" s="65"/>
      <c r="AM7" s="65"/>
      <c r="AN7" s="65"/>
      <c r="AO7" s="65"/>
      <c r="AP7" s="65"/>
      <c r="AQ7" s="65"/>
      <c r="AR7" s="65"/>
      <c r="AT7" s="65"/>
      <c r="AU7" s="65"/>
      <c r="AV7" s="65"/>
      <c r="AW7" s="65"/>
      <c r="AX7" s="65"/>
      <c r="AY7" s="65"/>
      <c r="BA7" s="65"/>
      <c r="BB7" s="65"/>
      <c r="BC7" s="65"/>
      <c r="BD7" s="65"/>
      <c r="BE7" s="65"/>
      <c r="BF7" s="65"/>
      <c r="BH7" s="65"/>
      <c r="BI7" s="65"/>
      <c r="BJ7" s="65"/>
      <c r="BK7" s="65"/>
      <c r="BL7" s="65"/>
      <c r="BM7" s="65"/>
      <c r="BO7" s="65"/>
      <c r="BP7" s="65"/>
      <c r="BQ7" s="65"/>
      <c r="BR7" s="65"/>
      <c r="BS7" s="65"/>
      <c r="BT7" s="65"/>
      <c r="BV7" s="65"/>
      <c r="BW7" s="65"/>
      <c r="BX7" s="65"/>
      <c r="BY7" s="65"/>
      <c r="BZ7" s="65"/>
      <c r="CA7" s="65"/>
      <c r="CC7" s="65"/>
      <c r="CD7" s="65"/>
      <c r="CE7" s="65"/>
      <c r="CF7" s="65"/>
      <c r="CG7" s="65"/>
      <c r="CH7" s="65"/>
      <c r="CJ7" s="65"/>
      <c r="CK7" s="65"/>
      <c r="CL7" s="65"/>
      <c r="CM7" s="65"/>
      <c r="CN7" s="65"/>
      <c r="CO7" s="65"/>
      <c r="CQ7" s="65"/>
      <c r="CR7" s="65"/>
      <c r="CS7" s="65"/>
      <c r="CT7" s="65"/>
      <c r="CU7" s="65"/>
      <c r="CV7" s="65"/>
      <c r="CX7" s="65"/>
      <c r="CY7" s="65"/>
      <c r="CZ7" s="65"/>
      <c r="DA7" s="65"/>
      <c r="DB7" s="65"/>
      <c r="DC7" s="65"/>
      <c r="DE7" s="65"/>
      <c r="DF7" s="65"/>
      <c r="DG7" s="65"/>
      <c r="DH7" s="65"/>
      <c r="DI7" s="65"/>
      <c r="DJ7" s="65"/>
      <c r="DL7" s="65"/>
      <c r="DM7" s="65"/>
      <c r="DN7" s="65"/>
      <c r="DO7" s="65"/>
      <c r="DP7" s="65"/>
      <c r="DQ7" s="65"/>
      <c r="DS7" s="64"/>
      <c r="DT7" s="64"/>
      <c r="DU7" s="64"/>
      <c r="DV7" s="64"/>
      <c r="DW7" s="64"/>
      <c r="DX7" s="64"/>
      <c r="DZ7" s="64"/>
      <c r="EA7" s="64"/>
      <c r="EB7" s="64"/>
      <c r="EC7" s="64"/>
      <c r="ED7" s="64"/>
      <c r="EE7" s="64"/>
      <c r="EG7" s="65"/>
      <c r="EH7" s="65"/>
      <c r="EI7" s="65"/>
      <c r="EJ7" s="65"/>
      <c r="EK7" s="65"/>
      <c r="EL7" s="65"/>
      <c r="EN7" s="65"/>
      <c r="EO7" s="65"/>
      <c r="EP7" s="65"/>
      <c r="EQ7" s="65"/>
      <c r="ER7" s="65"/>
      <c r="ES7" s="65"/>
      <c r="EU7" s="65"/>
      <c r="EV7" s="65"/>
      <c r="EW7" s="65"/>
      <c r="EX7" s="65"/>
      <c r="EY7" s="65"/>
      <c r="EZ7" s="65"/>
      <c r="FB7" s="65"/>
      <c r="FC7" s="65"/>
      <c r="FD7" s="65"/>
      <c r="FE7" s="65"/>
      <c r="FF7" s="65"/>
      <c r="FG7" s="65"/>
      <c r="FI7" s="65"/>
      <c r="FJ7" s="65"/>
      <c r="FK7" s="65"/>
      <c r="FL7" s="65"/>
      <c r="FM7" s="65"/>
      <c r="FN7" s="65"/>
      <c r="FP7" s="65"/>
      <c r="FQ7" s="65"/>
      <c r="FR7" s="65"/>
      <c r="FS7" s="65"/>
      <c r="FT7" s="65"/>
      <c r="FU7" s="65"/>
      <c r="FW7" s="65"/>
      <c r="FX7" s="65"/>
      <c r="FY7" s="65"/>
      <c r="FZ7" s="65"/>
      <c r="GA7" s="65"/>
      <c r="GB7" s="65"/>
      <c r="GD7" s="65"/>
      <c r="GE7" s="65"/>
      <c r="GF7" s="65"/>
      <c r="GG7" s="65"/>
      <c r="GH7" s="65"/>
      <c r="GI7" s="65"/>
      <c r="GK7" s="65"/>
      <c r="GL7" s="65"/>
      <c r="GM7" s="65"/>
      <c r="GN7" s="65"/>
      <c r="GO7" s="65"/>
      <c r="GP7" s="65"/>
      <c r="GR7" s="65"/>
      <c r="GS7" s="65"/>
      <c r="GT7" s="65"/>
      <c r="GU7" s="65"/>
      <c r="GV7" s="65"/>
      <c r="GW7" s="65"/>
      <c r="GY7" s="65"/>
      <c r="GZ7" s="65"/>
      <c r="HA7" s="65"/>
      <c r="HB7" s="65"/>
      <c r="HC7" s="65"/>
      <c r="HD7" s="65"/>
      <c r="HF7" s="65"/>
      <c r="HG7" s="65"/>
      <c r="HH7" s="65"/>
      <c r="HI7" s="65"/>
      <c r="HJ7" s="65"/>
      <c r="HK7" s="65"/>
    </row>
    <row r="8" spans="1:227" ht="16.5" customHeight="1" x14ac:dyDescent="0.25">
      <c r="A8" s="34">
        <f>'TEACHERS DETAILS'!A8</f>
        <v>7</v>
      </c>
      <c r="B8" s="34">
        <f>'TEACHERS DETAILS'!B8</f>
        <v>0</v>
      </c>
      <c r="C8" s="34">
        <f>'TEACHERS DETAILS'!E8</f>
        <v>0</v>
      </c>
      <c r="D8" s="34">
        <f>'TEACHERS DETAILS'!L8</f>
        <v>0</v>
      </c>
      <c r="E8" s="34">
        <f>'TEACHERS DETAILS'!J8</f>
        <v>0</v>
      </c>
      <c r="F8" s="34">
        <f>'TEACHERS DETAILS'!U8</f>
        <v>0</v>
      </c>
      <c r="G8" s="34">
        <f>'TEACHERS DETAILS'!C8</f>
        <v>0</v>
      </c>
      <c r="H8" s="35"/>
      <c r="R8" s="63"/>
      <c r="S8" s="63"/>
      <c r="T8" s="63"/>
      <c r="U8" s="63"/>
      <c r="V8" s="63"/>
      <c r="W8" s="63"/>
      <c r="Y8" s="65"/>
      <c r="Z8" s="65"/>
      <c r="AA8" s="65"/>
      <c r="AB8" s="65"/>
      <c r="AC8" s="65"/>
      <c r="AD8" s="65"/>
      <c r="AF8" s="65"/>
      <c r="AG8" s="65"/>
      <c r="AH8" s="65"/>
      <c r="AI8" s="65"/>
      <c r="AJ8" s="65"/>
      <c r="AK8" s="65"/>
      <c r="AM8" s="65"/>
      <c r="AN8" s="65"/>
      <c r="AO8" s="65"/>
      <c r="AP8" s="65"/>
      <c r="AQ8" s="65"/>
      <c r="AR8" s="65"/>
      <c r="AT8" s="65"/>
      <c r="AU8" s="65"/>
      <c r="AV8" s="65"/>
      <c r="AW8" s="65"/>
      <c r="AX8" s="65"/>
      <c r="AY8" s="65"/>
      <c r="BA8" s="65"/>
      <c r="BB8" s="65"/>
      <c r="BC8" s="65"/>
      <c r="BD8" s="65"/>
      <c r="BE8" s="65"/>
      <c r="BF8" s="65"/>
      <c r="BH8" s="65"/>
      <c r="BI8" s="65"/>
      <c r="BJ8" s="65"/>
      <c r="BK8" s="65"/>
      <c r="BL8" s="65"/>
      <c r="BM8" s="65"/>
      <c r="BO8" s="65"/>
      <c r="BP8" s="65"/>
      <c r="BQ8" s="65"/>
      <c r="BR8" s="65"/>
      <c r="BS8" s="65"/>
      <c r="BT8" s="65"/>
      <c r="BV8" s="65"/>
      <c r="BW8" s="65"/>
      <c r="BX8" s="65"/>
      <c r="BY8" s="65"/>
      <c r="BZ8" s="65"/>
      <c r="CA8" s="65"/>
      <c r="CC8" s="65"/>
      <c r="CD8" s="65"/>
      <c r="CE8" s="65"/>
      <c r="CF8" s="65"/>
      <c r="CG8" s="65"/>
      <c r="CH8" s="65"/>
      <c r="CJ8" s="65"/>
      <c r="CK8" s="65"/>
      <c r="CL8" s="65"/>
      <c r="CM8" s="65"/>
      <c r="CN8" s="65"/>
      <c r="CO8" s="65"/>
      <c r="CQ8" s="65"/>
      <c r="CR8" s="65"/>
      <c r="CS8" s="65"/>
      <c r="CT8" s="65"/>
      <c r="CU8" s="65"/>
      <c r="CV8" s="65"/>
      <c r="CX8" s="65"/>
      <c r="CY8" s="65"/>
      <c r="CZ8" s="65"/>
      <c r="DA8" s="65"/>
      <c r="DB8" s="65"/>
      <c r="DC8" s="65"/>
      <c r="DE8" s="65"/>
      <c r="DF8" s="65"/>
      <c r="DG8" s="65"/>
      <c r="DH8" s="65"/>
      <c r="DI8" s="65"/>
      <c r="DJ8" s="65"/>
      <c r="DL8" s="65"/>
      <c r="DM8" s="65"/>
      <c r="DN8" s="65"/>
      <c r="DO8" s="65"/>
      <c r="DP8" s="65"/>
      <c r="DQ8" s="65"/>
      <c r="DS8" s="64"/>
      <c r="DT8" s="64"/>
      <c r="DU8" s="64"/>
      <c r="DV8" s="64"/>
      <c r="DW8" s="64"/>
      <c r="DX8" s="64"/>
      <c r="DZ8" s="64"/>
      <c r="EA8" s="64"/>
      <c r="EB8" s="64"/>
      <c r="EC8" s="64"/>
      <c r="ED8" s="64"/>
      <c r="EE8" s="64"/>
      <c r="EG8" s="65"/>
      <c r="EH8" s="65"/>
      <c r="EI8" s="65"/>
      <c r="EJ8" s="65"/>
      <c r="EK8" s="65"/>
      <c r="EL8" s="65"/>
      <c r="EN8" s="65"/>
      <c r="EO8" s="65"/>
      <c r="EP8" s="65"/>
      <c r="EQ8" s="65"/>
      <c r="ER8" s="65"/>
      <c r="ES8" s="65"/>
      <c r="EU8" s="65"/>
      <c r="EV8" s="65"/>
      <c r="EW8" s="65"/>
      <c r="EX8" s="65"/>
      <c r="EY8" s="65"/>
      <c r="EZ8" s="65"/>
      <c r="FB8" s="65"/>
      <c r="FC8" s="65"/>
      <c r="FD8" s="65"/>
      <c r="FE8" s="65"/>
      <c r="FF8" s="65"/>
      <c r="FG8" s="65"/>
      <c r="FI8" s="65"/>
      <c r="FJ8" s="65"/>
      <c r="FK8" s="65"/>
      <c r="FL8" s="65"/>
      <c r="FM8" s="65"/>
      <c r="FN8" s="65"/>
      <c r="FP8" s="65"/>
      <c r="FQ8" s="65"/>
      <c r="FR8" s="65"/>
      <c r="FS8" s="65"/>
      <c r="FT8" s="65"/>
      <c r="FU8" s="65"/>
      <c r="FW8" s="65"/>
      <c r="FX8" s="65"/>
      <c r="FY8" s="65"/>
      <c r="FZ8" s="65"/>
      <c r="GA8" s="65"/>
      <c r="GB8" s="65"/>
      <c r="GD8" s="65"/>
      <c r="GE8" s="65"/>
      <c r="GF8" s="65"/>
      <c r="GG8" s="65"/>
      <c r="GH8" s="65"/>
      <c r="GI8" s="65"/>
      <c r="GK8" s="65"/>
      <c r="GL8" s="65"/>
      <c r="GM8" s="65"/>
      <c r="GN8" s="65"/>
      <c r="GO8" s="65"/>
      <c r="GP8" s="65"/>
      <c r="GR8" s="65"/>
      <c r="GS8" s="65"/>
      <c r="GT8" s="65"/>
      <c r="GU8" s="65"/>
      <c r="GV8" s="65"/>
      <c r="GW8" s="65"/>
      <c r="GY8" s="65"/>
      <c r="GZ8" s="65"/>
      <c r="HA8" s="65"/>
      <c r="HB8" s="65"/>
      <c r="HC8" s="65"/>
      <c r="HD8" s="65"/>
      <c r="HF8" s="65"/>
      <c r="HG8" s="65"/>
      <c r="HH8" s="65"/>
      <c r="HI8" s="65"/>
      <c r="HJ8" s="65"/>
      <c r="HK8" s="65"/>
    </row>
    <row r="9" spans="1:227" ht="16.5" customHeight="1" x14ac:dyDescent="0.25">
      <c r="A9" s="34">
        <f>'TEACHERS DETAILS'!A9</f>
        <v>8</v>
      </c>
      <c r="B9" s="34">
        <f>'TEACHERS DETAILS'!B9</f>
        <v>0</v>
      </c>
      <c r="C9" s="34">
        <f>'TEACHERS DETAILS'!E9</f>
        <v>0</v>
      </c>
      <c r="D9" s="34">
        <f>'TEACHERS DETAILS'!L9</f>
        <v>0</v>
      </c>
      <c r="E9" s="34">
        <f>'TEACHERS DETAILS'!J9</f>
        <v>0</v>
      </c>
      <c r="F9" s="34">
        <f>'TEACHERS DETAILS'!U9</f>
        <v>0</v>
      </c>
      <c r="G9" s="34">
        <f>'TEACHERS DETAILS'!C9</f>
        <v>0</v>
      </c>
      <c r="H9" s="35"/>
      <c r="R9" s="63"/>
      <c r="S9" s="63"/>
      <c r="T9" s="63"/>
      <c r="U9" s="63"/>
      <c r="V9" s="63"/>
      <c r="W9" s="63"/>
      <c r="Y9" s="65"/>
      <c r="Z9" s="65"/>
      <c r="AA9" s="65"/>
      <c r="AB9" s="65"/>
      <c r="AC9" s="65"/>
      <c r="AD9" s="65"/>
      <c r="AF9" s="65"/>
      <c r="AG9" s="65"/>
      <c r="AH9" s="65"/>
      <c r="AI9" s="65"/>
      <c r="AJ9" s="65"/>
      <c r="AK9" s="65"/>
      <c r="AM9" s="65"/>
      <c r="AN9" s="65"/>
      <c r="AO9" s="65"/>
      <c r="AP9" s="65"/>
      <c r="AQ9" s="65"/>
      <c r="AR9" s="65"/>
      <c r="AT9" s="65"/>
      <c r="AU9" s="65"/>
      <c r="AV9" s="65"/>
      <c r="AW9" s="65"/>
      <c r="AX9" s="65"/>
      <c r="AY9" s="65"/>
      <c r="BA9" s="65"/>
      <c r="BB9" s="65"/>
      <c r="BC9" s="65"/>
      <c r="BD9" s="65"/>
      <c r="BE9" s="65"/>
      <c r="BF9" s="65"/>
      <c r="BH9" s="65"/>
      <c r="BI9" s="65"/>
      <c r="BJ9" s="65"/>
      <c r="BK9" s="65"/>
      <c r="BL9" s="65"/>
      <c r="BM9" s="65"/>
      <c r="BO9" s="65"/>
      <c r="BP9" s="65"/>
      <c r="BQ9" s="65"/>
      <c r="BR9" s="65"/>
      <c r="BS9" s="65"/>
      <c r="BT9" s="65"/>
      <c r="BV9" s="65"/>
      <c r="BW9" s="65"/>
      <c r="BX9" s="65"/>
      <c r="BY9" s="65"/>
      <c r="BZ9" s="65"/>
      <c r="CA9" s="65"/>
      <c r="CC9" s="65"/>
      <c r="CD9" s="65"/>
      <c r="CE9" s="65"/>
      <c r="CF9" s="65"/>
      <c r="CG9" s="65"/>
      <c r="CH9" s="65"/>
      <c r="CJ9" s="65"/>
      <c r="CK9" s="65"/>
      <c r="CL9" s="65"/>
      <c r="CM9" s="65"/>
      <c r="CN9" s="65"/>
      <c r="CO9" s="65"/>
      <c r="CQ9" s="65"/>
      <c r="CR9" s="65"/>
      <c r="CS9" s="65"/>
      <c r="CT9" s="65"/>
      <c r="CU9" s="65"/>
      <c r="CV9" s="65"/>
      <c r="CX9" s="65"/>
      <c r="CY9" s="65"/>
      <c r="CZ9" s="65"/>
      <c r="DA9" s="65"/>
      <c r="DB9" s="65"/>
      <c r="DC9" s="65"/>
      <c r="DE9" s="65"/>
      <c r="DF9" s="65"/>
      <c r="DG9" s="65"/>
      <c r="DH9" s="65"/>
      <c r="DI9" s="65"/>
      <c r="DJ9" s="65"/>
      <c r="DL9" s="65"/>
      <c r="DM9" s="65"/>
      <c r="DN9" s="65"/>
      <c r="DO9" s="65"/>
      <c r="DP9" s="65"/>
      <c r="DQ9" s="65"/>
      <c r="DS9" s="64"/>
      <c r="DT9" s="64"/>
      <c r="DU9" s="64"/>
      <c r="DV9" s="64"/>
      <c r="DW9" s="64"/>
      <c r="DX9" s="64"/>
      <c r="DZ9" s="64"/>
      <c r="EA9" s="64"/>
      <c r="EB9" s="64"/>
      <c r="EC9" s="64"/>
      <c r="ED9" s="64"/>
      <c r="EE9" s="64"/>
      <c r="EG9" s="65"/>
      <c r="EH9" s="65"/>
      <c r="EI9" s="65"/>
      <c r="EJ9" s="65"/>
      <c r="EK9" s="65"/>
      <c r="EL9" s="65"/>
      <c r="EN9" s="65"/>
      <c r="EO9" s="65"/>
      <c r="EP9" s="65"/>
      <c r="EQ9" s="65"/>
      <c r="ER9" s="65"/>
      <c r="ES9" s="65"/>
      <c r="EU9" s="65"/>
      <c r="EV9" s="65"/>
      <c r="EW9" s="65"/>
      <c r="EX9" s="65"/>
      <c r="EY9" s="65"/>
      <c r="EZ9" s="65"/>
      <c r="FB9" s="65"/>
      <c r="FC9" s="65"/>
      <c r="FD9" s="65"/>
      <c r="FE9" s="65"/>
      <c r="FF9" s="65"/>
      <c r="FG9" s="65"/>
      <c r="FI9" s="65"/>
      <c r="FJ9" s="65"/>
      <c r="FK9" s="65"/>
      <c r="FL9" s="65"/>
      <c r="FM9" s="65"/>
      <c r="FN9" s="65"/>
      <c r="FP9" s="65"/>
      <c r="FQ9" s="65"/>
      <c r="FR9" s="65"/>
      <c r="FS9" s="65"/>
      <c r="FT9" s="65"/>
      <c r="FU9" s="65"/>
      <c r="FW9" s="65"/>
      <c r="FX9" s="65"/>
      <c r="FY9" s="65"/>
      <c r="FZ9" s="65"/>
      <c r="GA9" s="65"/>
      <c r="GB9" s="65"/>
      <c r="GD9" s="65"/>
      <c r="GE9" s="65"/>
      <c r="GF9" s="65"/>
      <c r="GG9" s="65"/>
      <c r="GH9" s="65"/>
      <c r="GI9" s="65"/>
      <c r="GK9" s="65"/>
      <c r="GL9" s="65"/>
      <c r="GM9" s="65"/>
      <c r="GN9" s="65"/>
      <c r="GO9" s="65"/>
      <c r="GP9" s="65"/>
      <c r="GR9" s="65"/>
      <c r="GS9" s="65"/>
      <c r="GT9" s="65"/>
      <c r="GU9" s="65"/>
      <c r="GV9" s="65"/>
      <c r="GW9" s="65"/>
      <c r="GY9" s="65"/>
      <c r="GZ9" s="65"/>
      <c r="HA9" s="65"/>
      <c r="HB9" s="65"/>
      <c r="HC9" s="65"/>
      <c r="HD9" s="65"/>
      <c r="HF9" s="65"/>
      <c r="HG9" s="65"/>
      <c r="HH9" s="65"/>
      <c r="HI9" s="65"/>
      <c r="HJ9" s="65"/>
      <c r="HK9" s="65"/>
    </row>
    <row r="10" spans="1:227" ht="15.75" x14ac:dyDescent="0.25">
      <c r="A10" s="34">
        <f>'TEACHERS DETAILS'!A10</f>
        <v>9</v>
      </c>
      <c r="B10" s="34">
        <f>'TEACHERS DETAILS'!B10</f>
        <v>0</v>
      </c>
      <c r="C10" s="34">
        <f>'TEACHERS DETAILS'!E10</f>
        <v>0</v>
      </c>
      <c r="D10" s="34">
        <f>'TEACHERS DETAILS'!L10</f>
        <v>0</v>
      </c>
      <c r="E10" s="34">
        <f>'TEACHERS DETAILS'!J10</f>
        <v>0</v>
      </c>
      <c r="F10" s="34">
        <f>'TEACHERS DETAILS'!U10</f>
        <v>0</v>
      </c>
      <c r="G10" s="34">
        <f>'TEACHERS DETAILS'!C10</f>
        <v>0</v>
      </c>
      <c r="H10" s="35"/>
      <c r="R10" s="63"/>
      <c r="S10" s="63"/>
      <c r="T10" s="63"/>
      <c r="U10" s="63"/>
      <c r="V10" s="63"/>
      <c r="W10" s="63"/>
      <c r="Y10" s="65"/>
      <c r="Z10" s="65"/>
      <c r="AA10" s="65"/>
      <c r="AB10" s="65"/>
      <c r="AC10" s="65"/>
      <c r="AD10" s="65"/>
      <c r="AF10" s="65"/>
      <c r="AG10" s="65"/>
      <c r="AH10" s="65"/>
      <c r="AI10" s="65"/>
      <c r="AJ10" s="65"/>
      <c r="AK10" s="65"/>
      <c r="AM10" s="65"/>
      <c r="AN10" s="65"/>
      <c r="AO10" s="65"/>
      <c r="AP10" s="65"/>
      <c r="AQ10" s="65"/>
      <c r="AR10" s="65"/>
      <c r="AT10" s="65"/>
      <c r="AU10" s="65"/>
      <c r="AV10" s="65"/>
      <c r="AW10" s="65"/>
      <c r="AX10" s="65"/>
      <c r="AY10" s="65"/>
      <c r="BA10" s="65"/>
      <c r="BB10" s="65"/>
      <c r="BC10" s="65"/>
      <c r="BD10" s="65"/>
      <c r="BE10" s="65"/>
      <c r="BF10" s="65"/>
      <c r="BH10" s="65"/>
      <c r="BI10" s="65"/>
      <c r="BJ10" s="65"/>
      <c r="BK10" s="65"/>
      <c r="BL10" s="65"/>
      <c r="BM10" s="65"/>
      <c r="BO10" s="65"/>
      <c r="BP10" s="65"/>
      <c r="BQ10" s="65"/>
      <c r="BR10" s="65"/>
      <c r="BS10" s="65"/>
      <c r="BT10" s="65"/>
      <c r="BV10" s="65"/>
      <c r="BW10" s="65"/>
      <c r="BX10" s="65"/>
      <c r="BY10" s="65"/>
      <c r="BZ10" s="65"/>
      <c r="CA10" s="65"/>
      <c r="CC10" s="65"/>
      <c r="CD10" s="65"/>
      <c r="CE10" s="65"/>
      <c r="CF10" s="65"/>
      <c r="CG10" s="65"/>
      <c r="CH10" s="65"/>
      <c r="CJ10" s="65"/>
      <c r="CK10" s="65"/>
      <c r="CL10" s="65"/>
      <c r="CM10" s="65"/>
      <c r="CN10" s="65"/>
      <c r="CO10" s="65"/>
      <c r="CQ10" s="65"/>
      <c r="CR10" s="65"/>
      <c r="CS10" s="65"/>
      <c r="CT10" s="65"/>
      <c r="CU10" s="65"/>
      <c r="CV10" s="65"/>
      <c r="CX10" s="65"/>
      <c r="CY10" s="65"/>
      <c r="CZ10" s="65"/>
      <c r="DA10" s="65"/>
      <c r="DB10" s="65"/>
      <c r="DC10" s="65"/>
      <c r="DE10" s="65"/>
      <c r="DF10" s="65"/>
      <c r="DG10" s="65"/>
      <c r="DH10" s="65"/>
      <c r="DI10" s="65"/>
      <c r="DJ10" s="65"/>
      <c r="DL10" s="65"/>
      <c r="DM10" s="65"/>
      <c r="DN10" s="65"/>
      <c r="DO10" s="65"/>
      <c r="DP10" s="65"/>
      <c r="DQ10" s="65"/>
      <c r="DS10" s="64"/>
      <c r="DT10" s="64"/>
      <c r="DU10" s="64"/>
      <c r="DV10" s="64"/>
      <c r="DW10" s="64"/>
      <c r="DX10" s="64"/>
      <c r="DZ10" s="64"/>
      <c r="EA10" s="64"/>
      <c r="EB10" s="64"/>
      <c r="EC10" s="64"/>
      <c r="ED10" s="64"/>
      <c r="EE10" s="64"/>
      <c r="EG10" s="65"/>
      <c r="EH10" s="65"/>
      <c r="EI10" s="65"/>
      <c r="EJ10" s="65"/>
      <c r="EK10" s="65"/>
      <c r="EL10" s="65"/>
      <c r="EN10" s="65"/>
      <c r="EO10" s="65"/>
      <c r="EP10" s="65"/>
      <c r="EQ10" s="65"/>
      <c r="ER10" s="65"/>
      <c r="ES10" s="65"/>
      <c r="EU10" s="65"/>
      <c r="EV10" s="65"/>
      <c r="EW10" s="65"/>
      <c r="EX10" s="65"/>
      <c r="EY10" s="65"/>
      <c r="EZ10" s="65"/>
      <c r="FB10" s="65"/>
      <c r="FC10" s="65"/>
      <c r="FD10" s="65"/>
      <c r="FE10" s="65"/>
      <c r="FF10" s="65"/>
      <c r="FG10" s="65"/>
      <c r="FI10" s="65"/>
      <c r="FJ10" s="65"/>
      <c r="FK10" s="65"/>
      <c r="FL10" s="65"/>
      <c r="FM10" s="65"/>
      <c r="FN10" s="65"/>
      <c r="FP10" s="65"/>
      <c r="FQ10" s="65"/>
      <c r="FR10" s="65"/>
      <c r="FS10" s="65"/>
      <c r="FT10" s="65"/>
      <c r="FU10" s="65"/>
      <c r="FW10" s="65"/>
      <c r="FX10" s="65"/>
      <c r="FY10" s="65"/>
      <c r="FZ10" s="65"/>
      <c r="GA10" s="65"/>
      <c r="GB10" s="65"/>
      <c r="GD10" s="65"/>
      <c r="GE10" s="65"/>
      <c r="GF10" s="65"/>
      <c r="GG10" s="65"/>
      <c r="GH10" s="65"/>
      <c r="GI10" s="65"/>
      <c r="GK10" s="65"/>
      <c r="GL10" s="65"/>
      <c r="GM10" s="65"/>
      <c r="GN10" s="65"/>
      <c r="GO10" s="65"/>
      <c r="GP10" s="65"/>
      <c r="GR10" s="65"/>
      <c r="GS10" s="65"/>
      <c r="GT10" s="65"/>
      <c r="GU10" s="65"/>
      <c r="GV10" s="65"/>
      <c r="GW10" s="65"/>
      <c r="GY10" s="65"/>
      <c r="GZ10" s="65"/>
      <c r="HA10" s="65"/>
      <c r="HB10" s="65"/>
      <c r="HC10" s="65"/>
      <c r="HD10" s="65"/>
      <c r="HF10" s="65"/>
      <c r="HG10" s="65"/>
      <c r="HH10" s="65"/>
      <c r="HI10" s="65"/>
      <c r="HJ10" s="65"/>
      <c r="HK10" s="65"/>
    </row>
    <row r="11" spans="1:227" ht="15.75" x14ac:dyDescent="0.25">
      <c r="A11" s="34">
        <f>'TEACHERS DETAILS'!A11</f>
        <v>10</v>
      </c>
      <c r="B11" s="34">
        <f>'TEACHERS DETAILS'!B11</f>
        <v>0</v>
      </c>
      <c r="C11" s="34">
        <f>'TEACHERS DETAILS'!E11</f>
        <v>0</v>
      </c>
      <c r="D11" s="34">
        <f>'TEACHERS DETAILS'!L11</f>
        <v>0</v>
      </c>
      <c r="E11" s="34">
        <f>'TEACHERS DETAILS'!J11</f>
        <v>0</v>
      </c>
      <c r="F11" s="34">
        <f>'TEACHERS DETAILS'!U11</f>
        <v>0</v>
      </c>
      <c r="G11" s="34">
        <f>'TEACHERS DETAILS'!C11</f>
        <v>0</v>
      </c>
      <c r="H11" s="35"/>
      <c r="R11" s="63"/>
      <c r="S11" s="63"/>
      <c r="T11" s="63"/>
      <c r="U11" s="63"/>
      <c r="V11" s="63"/>
      <c r="W11" s="63"/>
      <c r="Y11" s="65"/>
      <c r="Z11" s="65"/>
      <c r="AA11" s="65"/>
      <c r="AB11" s="65"/>
      <c r="AC11" s="65"/>
      <c r="AD11" s="65"/>
      <c r="AF11" s="65"/>
      <c r="AG11" s="65"/>
      <c r="AH11" s="65"/>
      <c r="AI11" s="65"/>
      <c r="AJ11" s="65"/>
      <c r="AK11" s="65"/>
      <c r="AM11" s="65"/>
      <c r="AN11" s="65"/>
      <c r="AO11" s="65"/>
      <c r="AP11" s="65"/>
      <c r="AQ11" s="65"/>
      <c r="AR11" s="65"/>
      <c r="AT11" s="65"/>
      <c r="AU11" s="65"/>
      <c r="AV11" s="65"/>
      <c r="AW11" s="65"/>
      <c r="AX11" s="65"/>
      <c r="AY11" s="65"/>
      <c r="BA11" s="65"/>
      <c r="BB11" s="65"/>
      <c r="BC11" s="65"/>
      <c r="BD11" s="65"/>
      <c r="BE11" s="65"/>
      <c r="BF11" s="65"/>
      <c r="BH11" s="65"/>
      <c r="BI11" s="65"/>
      <c r="BJ11" s="65"/>
      <c r="BK11" s="65"/>
      <c r="BL11" s="65"/>
      <c r="BM11" s="65"/>
      <c r="BO11" s="65"/>
      <c r="BP11" s="65"/>
      <c r="BQ11" s="65"/>
      <c r="BR11" s="65"/>
      <c r="BS11" s="65"/>
      <c r="BT11" s="65"/>
      <c r="BV11" s="65"/>
      <c r="BW11" s="65"/>
      <c r="BX11" s="65"/>
      <c r="BY11" s="65"/>
      <c r="BZ11" s="65"/>
      <c r="CA11" s="65"/>
      <c r="CC11" s="65"/>
      <c r="CD11" s="65"/>
      <c r="CE11" s="65"/>
      <c r="CF11" s="65"/>
      <c r="CG11" s="65"/>
      <c r="CH11" s="65"/>
      <c r="CJ11" s="65"/>
      <c r="CK11" s="65"/>
      <c r="CL11" s="65"/>
      <c r="CM11" s="65"/>
      <c r="CN11" s="65"/>
      <c r="CO11" s="65"/>
      <c r="CQ11" s="65"/>
      <c r="CR11" s="65"/>
      <c r="CS11" s="65"/>
      <c r="CT11" s="65"/>
      <c r="CU11" s="65"/>
      <c r="CV11" s="65"/>
      <c r="CX11" s="65"/>
      <c r="CY11" s="65"/>
      <c r="CZ11" s="65"/>
      <c r="DA11" s="65"/>
      <c r="DB11" s="65"/>
      <c r="DC11" s="65"/>
      <c r="DE11" s="65"/>
      <c r="DF11" s="65"/>
      <c r="DG11" s="65"/>
      <c r="DH11" s="65"/>
      <c r="DI11" s="65"/>
      <c r="DJ11" s="65"/>
      <c r="DL11" s="65"/>
      <c r="DM11" s="65"/>
      <c r="DN11" s="65"/>
      <c r="DO11" s="65"/>
      <c r="DP11" s="65"/>
      <c r="DQ11" s="65"/>
      <c r="DS11" s="64"/>
      <c r="DT11" s="64"/>
      <c r="DU11" s="64"/>
      <c r="DV11" s="64"/>
      <c r="DW11" s="64"/>
      <c r="DX11" s="64"/>
      <c r="DZ11" s="64"/>
      <c r="EA11" s="64"/>
      <c r="EB11" s="64"/>
      <c r="EC11" s="64"/>
      <c r="ED11" s="64"/>
      <c r="EE11" s="64"/>
      <c r="EG11" s="65"/>
      <c r="EH11" s="65"/>
      <c r="EI11" s="65"/>
      <c r="EJ11" s="65"/>
      <c r="EK11" s="65"/>
      <c r="EL11" s="65"/>
      <c r="EN11" s="65"/>
      <c r="EO11" s="65"/>
      <c r="EP11" s="65"/>
      <c r="EQ11" s="65"/>
      <c r="ER11" s="65"/>
      <c r="ES11" s="65"/>
      <c r="EU11" s="65"/>
      <c r="EV11" s="65"/>
      <c r="EW11" s="65"/>
      <c r="EX11" s="65"/>
      <c r="EY11" s="65"/>
      <c r="EZ11" s="65"/>
      <c r="FB11" s="65"/>
      <c r="FC11" s="65"/>
      <c r="FD11" s="65"/>
      <c r="FE11" s="65"/>
      <c r="FF11" s="65"/>
      <c r="FG11" s="65"/>
      <c r="FI11" s="65"/>
      <c r="FJ11" s="65"/>
      <c r="FK11" s="65"/>
      <c r="FL11" s="65"/>
      <c r="FM11" s="65"/>
      <c r="FN11" s="65"/>
      <c r="FP11" s="65"/>
      <c r="FQ11" s="65"/>
      <c r="FR11" s="65"/>
      <c r="FS11" s="65"/>
      <c r="FT11" s="65"/>
      <c r="FU11" s="65"/>
      <c r="FW11" s="65"/>
      <c r="FX11" s="65"/>
      <c r="FY11" s="65"/>
      <c r="FZ11" s="65"/>
      <c r="GA11" s="65"/>
      <c r="GB11" s="65"/>
      <c r="GD11" s="65"/>
      <c r="GE11" s="65"/>
      <c r="GF11" s="65"/>
      <c r="GG11" s="65"/>
      <c r="GH11" s="65"/>
      <c r="GI11" s="65"/>
      <c r="GK11" s="65"/>
      <c r="GL11" s="65"/>
      <c r="GM11" s="65"/>
      <c r="GN11" s="65"/>
      <c r="GO11" s="65"/>
      <c r="GP11" s="65"/>
      <c r="GR11" s="65"/>
      <c r="GS11" s="65"/>
      <c r="GT11" s="65"/>
      <c r="GU11" s="65"/>
      <c r="GV11" s="65"/>
      <c r="GW11" s="65"/>
      <c r="GY11" s="65"/>
      <c r="GZ11" s="65"/>
      <c r="HA11" s="65"/>
      <c r="HB11" s="65"/>
      <c r="HC11" s="65"/>
      <c r="HD11" s="65"/>
      <c r="HF11" s="65"/>
      <c r="HG11" s="65"/>
      <c r="HH11" s="65"/>
      <c r="HI11" s="65"/>
      <c r="HJ11" s="65"/>
      <c r="HK11" s="65"/>
    </row>
    <row r="12" spans="1:227" ht="15.75" x14ac:dyDescent="0.25">
      <c r="A12" s="34">
        <f>'TEACHERS DETAILS'!A12</f>
        <v>11</v>
      </c>
      <c r="B12" s="34">
        <f>'TEACHERS DETAILS'!B12</f>
        <v>0</v>
      </c>
      <c r="C12" s="34">
        <f>'TEACHERS DETAILS'!E12</f>
        <v>0</v>
      </c>
      <c r="D12" s="34">
        <f>'TEACHERS DETAILS'!L12</f>
        <v>0</v>
      </c>
      <c r="E12" s="34">
        <f>'TEACHERS DETAILS'!J12</f>
        <v>0</v>
      </c>
      <c r="F12" s="34">
        <f>'TEACHERS DETAILS'!U12</f>
        <v>0</v>
      </c>
      <c r="G12" s="34">
        <f>'TEACHERS DETAILS'!C12</f>
        <v>0</v>
      </c>
      <c r="H12" s="35"/>
      <c r="R12" s="63"/>
      <c r="S12" s="63"/>
      <c r="T12" s="63"/>
      <c r="U12" s="63"/>
      <c r="V12" s="63"/>
      <c r="W12" s="63"/>
      <c r="Y12" s="65"/>
      <c r="Z12" s="65"/>
      <c r="AA12" s="65"/>
      <c r="AB12" s="65"/>
      <c r="AC12" s="65"/>
      <c r="AD12" s="65"/>
      <c r="AF12" s="65"/>
      <c r="AG12" s="65"/>
      <c r="AH12" s="65"/>
      <c r="AI12" s="65"/>
      <c r="AJ12" s="65"/>
      <c r="AK12" s="65"/>
      <c r="AM12" s="65"/>
      <c r="AN12" s="65"/>
      <c r="AO12" s="65"/>
      <c r="AP12" s="65"/>
      <c r="AQ12" s="65"/>
      <c r="AR12" s="65"/>
      <c r="AT12" s="65"/>
      <c r="AU12" s="65"/>
      <c r="AV12" s="65"/>
      <c r="AW12" s="65"/>
      <c r="AX12" s="65"/>
      <c r="AY12" s="65"/>
      <c r="BA12" s="65"/>
      <c r="BB12" s="65"/>
      <c r="BC12" s="65"/>
      <c r="BD12" s="65"/>
      <c r="BE12" s="65"/>
      <c r="BF12" s="65"/>
      <c r="BH12" s="65"/>
      <c r="BI12" s="65"/>
      <c r="BJ12" s="65"/>
      <c r="BK12" s="65"/>
      <c r="BL12" s="65"/>
      <c r="BM12" s="65"/>
      <c r="BO12" s="65"/>
      <c r="BP12" s="65"/>
      <c r="BQ12" s="65"/>
      <c r="BR12" s="65"/>
      <c r="BS12" s="65"/>
      <c r="BT12" s="65"/>
      <c r="BV12" s="65"/>
      <c r="BW12" s="65"/>
      <c r="BX12" s="65"/>
      <c r="BY12" s="65"/>
      <c r="BZ12" s="65"/>
      <c r="CA12" s="65"/>
      <c r="CC12" s="65"/>
      <c r="CD12" s="65"/>
      <c r="CE12" s="65"/>
      <c r="CF12" s="65"/>
      <c r="CG12" s="65"/>
      <c r="CH12" s="65"/>
      <c r="CJ12" s="65"/>
      <c r="CK12" s="65"/>
      <c r="CL12" s="65"/>
      <c r="CM12" s="65"/>
      <c r="CN12" s="65"/>
      <c r="CO12" s="65"/>
      <c r="CQ12" s="65"/>
      <c r="CR12" s="65"/>
      <c r="CS12" s="65"/>
      <c r="CT12" s="65"/>
      <c r="CU12" s="65"/>
      <c r="CV12" s="65"/>
      <c r="CX12" s="65"/>
      <c r="CY12" s="65"/>
      <c r="CZ12" s="65"/>
      <c r="DA12" s="65"/>
      <c r="DB12" s="65"/>
      <c r="DC12" s="65"/>
      <c r="DE12" s="65"/>
      <c r="DF12" s="65"/>
      <c r="DG12" s="65"/>
      <c r="DH12" s="65"/>
      <c r="DI12" s="65"/>
      <c r="DJ12" s="65"/>
      <c r="DL12" s="65"/>
      <c r="DM12" s="65"/>
      <c r="DN12" s="65"/>
      <c r="DO12" s="65"/>
      <c r="DP12" s="65"/>
      <c r="DQ12" s="65"/>
      <c r="DS12" s="64"/>
      <c r="DT12" s="64"/>
      <c r="DU12" s="64"/>
      <c r="DV12" s="64"/>
      <c r="DW12" s="64"/>
      <c r="DX12" s="64"/>
      <c r="DZ12" s="64"/>
      <c r="EA12" s="64"/>
      <c r="EB12" s="64"/>
      <c r="EC12" s="64"/>
      <c r="ED12" s="64"/>
      <c r="EE12" s="64"/>
      <c r="EG12" s="65"/>
      <c r="EH12" s="65"/>
      <c r="EI12" s="65"/>
      <c r="EJ12" s="65"/>
      <c r="EK12" s="65"/>
      <c r="EL12" s="65"/>
      <c r="EN12" s="65"/>
      <c r="EO12" s="65"/>
      <c r="EP12" s="65"/>
      <c r="EQ12" s="65"/>
      <c r="ER12" s="65"/>
      <c r="ES12" s="65"/>
      <c r="EU12" s="65"/>
      <c r="EV12" s="65"/>
      <c r="EW12" s="65"/>
      <c r="EX12" s="65"/>
      <c r="EY12" s="65"/>
      <c r="EZ12" s="65"/>
      <c r="FB12" s="65"/>
      <c r="FC12" s="65"/>
      <c r="FD12" s="65"/>
      <c r="FE12" s="65"/>
      <c r="FF12" s="65"/>
      <c r="FG12" s="65"/>
      <c r="FI12" s="65"/>
      <c r="FJ12" s="65"/>
      <c r="FK12" s="65"/>
      <c r="FL12" s="65"/>
      <c r="FM12" s="65"/>
      <c r="FN12" s="65"/>
      <c r="FP12" s="65"/>
      <c r="FQ12" s="65"/>
      <c r="FR12" s="65"/>
      <c r="FS12" s="65"/>
      <c r="FT12" s="65"/>
      <c r="FU12" s="65"/>
      <c r="FW12" s="65"/>
      <c r="FX12" s="65"/>
      <c r="FY12" s="65"/>
      <c r="FZ12" s="65"/>
      <c r="GA12" s="65"/>
      <c r="GB12" s="65"/>
      <c r="GD12" s="65"/>
      <c r="GE12" s="65"/>
      <c r="GF12" s="65"/>
      <c r="GG12" s="65"/>
      <c r="GH12" s="65"/>
      <c r="GI12" s="65"/>
      <c r="GK12" s="65"/>
      <c r="GL12" s="65"/>
      <c r="GM12" s="65"/>
      <c r="GN12" s="65"/>
      <c r="GO12" s="65"/>
      <c r="GP12" s="65"/>
      <c r="GR12" s="65"/>
      <c r="GS12" s="65"/>
      <c r="GT12" s="65"/>
      <c r="GU12" s="65"/>
      <c r="GV12" s="65"/>
      <c r="GW12" s="65"/>
      <c r="GY12" s="65"/>
      <c r="GZ12" s="65"/>
      <c r="HA12" s="65"/>
      <c r="HB12" s="65"/>
      <c r="HC12" s="65"/>
      <c r="HD12" s="65"/>
      <c r="HF12" s="65"/>
      <c r="HG12" s="65"/>
      <c r="HH12" s="65"/>
      <c r="HI12" s="65"/>
      <c r="HJ12" s="65"/>
      <c r="HK12" s="65"/>
    </row>
    <row r="13" spans="1:227" ht="15.75" x14ac:dyDescent="0.25">
      <c r="A13" s="34">
        <f>'TEACHERS DETAILS'!A13</f>
        <v>12</v>
      </c>
      <c r="B13" s="34">
        <f>'TEACHERS DETAILS'!B13</f>
        <v>0</v>
      </c>
      <c r="C13" s="34">
        <f>'TEACHERS DETAILS'!E13</f>
        <v>0</v>
      </c>
      <c r="D13" s="34">
        <f>'TEACHERS DETAILS'!L13</f>
        <v>0</v>
      </c>
      <c r="E13" s="34">
        <f>'TEACHERS DETAILS'!J13</f>
        <v>0</v>
      </c>
      <c r="F13" s="34">
        <f>'TEACHERS DETAILS'!U13</f>
        <v>0</v>
      </c>
      <c r="G13" s="34">
        <f>'TEACHERS DETAILS'!C13</f>
        <v>0</v>
      </c>
      <c r="H13" s="35"/>
      <c r="R13" s="63"/>
      <c r="S13" s="63"/>
      <c r="T13" s="63"/>
      <c r="U13" s="63"/>
      <c r="V13" s="63"/>
      <c r="W13" s="63"/>
      <c r="Y13" s="65"/>
      <c r="Z13" s="65"/>
      <c r="AA13" s="65"/>
      <c r="AB13" s="65"/>
      <c r="AC13" s="65"/>
      <c r="AD13" s="65"/>
      <c r="AF13" s="65"/>
      <c r="AG13" s="65"/>
      <c r="AH13" s="65"/>
      <c r="AI13" s="65"/>
      <c r="AJ13" s="65"/>
      <c r="AK13" s="65"/>
      <c r="AM13" s="65"/>
      <c r="AN13" s="65"/>
      <c r="AO13" s="65"/>
      <c r="AP13" s="65"/>
      <c r="AQ13" s="65"/>
      <c r="AR13" s="65"/>
      <c r="AT13" s="65"/>
      <c r="AU13" s="65"/>
      <c r="AV13" s="65"/>
      <c r="AW13" s="65"/>
      <c r="AX13" s="65"/>
      <c r="AY13" s="65"/>
      <c r="BA13" s="65"/>
      <c r="BB13" s="65"/>
      <c r="BC13" s="65"/>
      <c r="BD13" s="65"/>
      <c r="BE13" s="65"/>
      <c r="BF13" s="65"/>
      <c r="BH13" s="65"/>
      <c r="BI13" s="65"/>
      <c r="BJ13" s="65"/>
      <c r="BK13" s="65"/>
      <c r="BL13" s="65"/>
      <c r="BM13" s="65"/>
      <c r="BO13" s="65"/>
      <c r="BP13" s="65"/>
      <c r="BQ13" s="65"/>
      <c r="BR13" s="65"/>
      <c r="BS13" s="65"/>
      <c r="BT13" s="65"/>
      <c r="BV13" s="65"/>
      <c r="BW13" s="65"/>
      <c r="BX13" s="65"/>
      <c r="BY13" s="65"/>
      <c r="BZ13" s="65"/>
      <c r="CA13" s="65"/>
      <c r="CC13" s="65"/>
      <c r="CD13" s="65"/>
      <c r="CE13" s="65"/>
      <c r="CF13" s="65"/>
      <c r="CG13" s="65"/>
      <c r="CH13" s="65"/>
      <c r="CJ13" s="65"/>
      <c r="CK13" s="65"/>
      <c r="CL13" s="65"/>
      <c r="CM13" s="65"/>
      <c r="CN13" s="65"/>
      <c r="CO13" s="65"/>
      <c r="CQ13" s="65"/>
      <c r="CR13" s="65"/>
      <c r="CS13" s="65"/>
      <c r="CT13" s="65"/>
      <c r="CU13" s="65"/>
      <c r="CV13" s="65"/>
      <c r="CX13" s="65"/>
      <c r="CY13" s="65"/>
      <c r="CZ13" s="65"/>
      <c r="DA13" s="65"/>
      <c r="DB13" s="65"/>
      <c r="DC13" s="65"/>
      <c r="DE13" s="65"/>
      <c r="DF13" s="65"/>
      <c r="DG13" s="65"/>
      <c r="DH13" s="65"/>
      <c r="DI13" s="65"/>
      <c r="DJ13" s="65"/>
      <c r="DL13" s="65"/>
      <c r="DM13" s="65"/>
      <c r="DN13" s="65"/>
      <c r="DO13" s="65"/>
      <c r="DP13" s="65"/>
      <c r="DQ13" s="65"/>
      <c r="DS13" s="64"/>
      <c r="DT13" s="64"/>
      <c r="DU13" s="64"/>
      <c r="DV13" s="64"/>
      <c r="DW13" s="64"/>
      <c r="DX13" s="64"/>
      <c r="DZ13" s="64"/>
      <c r="EA13" s="64"/>
      <c r="EB13" s="64"/>
      <c r="EC13" s="64"/>
      <c r="ED13" s="64"/>
      <c r="EE13" s="64"/>
      <c r="EG13" s="65"/>
      <c r="EH13" s="65"/>
      <c r="EI13" s="65"/>
      <c r="EJ13" s="65"/>
      <c r="EK13" s="65"/>
      <c r="EL13" s="65"/>
      <c r="EN13" s="65"/>
      <c r="EO13" s="65"/>
      <c r="EP13" s="65"/>
      <c r="EQ13" s="65"/>
      <c r="ER13" s="65"/>
      <c r="ES13" s="65"/>
      <c r="EU13" s="65"/>
      <c r="EV13" s="65"/>
      <c r="EW13" s="65"/>
      <c r="EX13" s="65"/>
      <c r="EY13" s="65"/>
      <c r="EZ13" s="65"/>
      <c r="FB13" s="65"/>
      <c r="FC13" s="65"/>
      <c r="FD13" s="65"/>
      <c r="FE13" s="65"/>
      <c r="FF13" s="65"/>
      <c r="FG13" s="65"/>
      <c r="FI13" s="65"/>
      <c r="FJ13" s="65"/>
      <c r="FK13" s="65"/>
      <c r="FL13" s="65"/>
      <c r="FM13" s="65"/>
      <c r="FN13" s="65"/>
      <c r="FP13" s="65"/>
      <c r="FQ13" s="65"/>
      <c r="FR13" s="65"/>
      <c r="FS13" s="65"/>
      <c r="FT13" s="65"/>
      <c r="FU13" s="65"/>
      <c r="FW13" s="65"/>
      <c r="FX13" s="65"/>
      <c r="FY13" s="65"/>
      <c r="FZ13" s="65"/>
      <c r="GA13" s="65"/>
      <c r="GB13" s="65"/>
      <c r="GD13" s="65"/>
      <c r="GE13" s="65"/>
      <c r="GF13" s="65"/>
      <c r="GG13" s="65"/>
      <c r="GH13" s="65"/>
      <c r="GI13" s="65"/>
      <c r="GK13" s="65"/>
      <c r="GL13" s="65"/>
      <c r="GM13" s="65"/>
      <c r="GN13" s="65"/>
      <c r="GO13" s="65"/>
      <c r="GP13" s="65"/>
      <c r="GR13" s="65"/>
      <c r="GS13" s="65"/>
      <c r="GT13" s="65"/>
      <c r="GU13" s="65"/>
      <c r="GV13" s="65"/>
      <c r="GW13" s="65"/>
      <c r="GY13" s="65"/>
      <c r="GZ13" s="65"/>
      <c r="HA13" s="65"/>
      <c r="HB13" s="65"/>
      <c r="HC13" s="65"/>
      <c r="HD13" s="65"/>
      <c r="HF13" s="65"/>
      <c r="HG13" s="65"/>
      <c r="HH13" s="65"/>
      <c r="HI13" s="65"/>
      <c r="HJ13" s="65"/>
      <c r="HK13" s="65"/>
    </row>
    <row r="14" spans="1:227" ht="15.75" x14ac:dyDescent="0.25">
      <c r="A14" s="34">
        <f>'TEACHERS DETAILS'!A14</f>
        <v>13</v>
      </c>
      <c r="B14" s="34">
        <f>'TEACHERS DETAILS'!B14</f>
        <v>0</v>
      </c>
      <c r="C14" s="34">
        <f>'TEACHERS DETAILS'!E14</f>
        <v>0</v>
      </c>
      <c r="D14" s="34">
        <f>'TEACHERS DETAILS'!L14</f>
        <v>0</v>
      </c>
      <c r="E14" s="34">
        <f>'TEACHERS DETAILS'!J14</f>
        <v>0</v>
      </c>
      <c r="F14" s="34">
        <f>'TEACHERS DETAILS'!U14</f>
        <v>0</v>
      </c>
      <c r="G14" s="34">
        <f>'TEACHERS DETAILS'!C14</f>
        <v>0</v>
      </c>
      <c r="H14" s="35"/>
      <c r="R14" s="63"/>
      <c r="S14" s="63"/>
      <c r="T14" s="63"/>
      <c r="U14" s="63"/>
      <c r="V14" s="63"/>
      <c r="W14" s="63"/>
      <c r="Y14" s="65"/>
      <c r="Z14" s="65"/>
      <c r="AA14" s="65"/>
      <c r="AB14" s="65"/>
      <c r="AC14" s="65"/>
      <c r="AD14" s="65"/>
      <c r="AF14" s="65"/>
      <c r="AG14" s="65"/>
      <c r="AH14" s="65"/>
      <c r="AI14" s="65"/>
      <c r="AJ14" s="65"/>
      <c r="AK14" s="65"/>
      <c r="AM14" s="65"/>
      <c r="AN14" s="65"/>
      <c r="AO14" s="65"/>
      <c r="AP14" s="65"/>
      <c r="AQ14" s="65"/>
      <c r="AR14" s="65"/>
      <c r="AT14" s="65"/>
      <c r="AU14" s="65"/>
      <c r="AV14" s="65"/>
      <c r="AW14" s="65"/>
      <c r="AX14" s="65"/>
      <c r="AY14" s="65"/>
      <c r="BA14" s="65"/>
      <c r="BB14" s="65"/>
      <c r="BC14" s="65"/>
      <c r="BD14" s="65"/>
      <c r="BE14" s="65"/>
      <c r="BF14" s="65"/>
      <c r="BH14" s="65"/>
      <c r="BI14" s="65"/>
      <c r="BJ14" s="65"/>
      <c r="BK14" s="65"/>
      <c r="BL14" s="65"/>
      <c r="BM14" s="65"/>
      <c r="BO14" s="65"/>
      <c r="BP14" s="65"/>
      <c r="BQ14" s="65"/>
      <c r="BR14" s="65"/>
      <c r="BS14" s="65"/>
      <c r="BT14" s="65"/>
      <c r="BV14" s="65"/>
      <c r="BW14" s="65"/>
      <c r="BX14" s="65"/>
      <c r="BY14" s="65"/>
      <c r="BZ14" s="65"/>
      <c r="CA14" s="65"/>
      <c r="CC14" s="65"/>
      <c r="CD14" s="65"/>
      <c r="CE14" s="65"/>
      <c r="CF14" s="65"/>
      <c r="CG14" s="65"/>
      <c r="CH14" s="65"/>
      <c r="CJ14" s="65"/>
      <c r="CK14" s="65"/>
      <c r="CL14" s="65"/>
      <c r="CM14" s="65"/>
      <c r="CN14" s="65"/>
      <c r="CO14" s="65"/>
      <c r="CQ14" s="65"/>
      <c r="CR14" s="65"/>
      <c r="CS14" s="65"/>
      <c r="CT14" s="65"/>
      <c r="CU14" s="65"/>
      <c r="CV14" s="65"/>
      <c r="CX14" s="65"/>
      <c r="CY14" s="65"/>
      <c r="CZ14" s="65"/>
      <c r="DA14" s="65"/>
      <c r="DB14" s="65"/>
      <c r="DC14" s="65"/>
      <c r="DE14" s="65"/>
      <c r="DF14" s="65"/>
      <c r="DG14" s="65"/>
      <c r="DH14" s="65"/>
      <c r="DI14" s="65"/>
      <c r="DJ14" s="65"/>
      <c r="DL14" s="65"/>
      <c r="DM14" s="65"/>
      <c r="DN14" s="65"/>
      <c r="DO14" s="65"/>
      <c r="DP14" s="65"/>
      <c r="DQ14" s="65"/>
      <c r="DS14" s="64"/>
      <c r="DT14" s="64"/>
      <c r="DU14" s="64"/>
      <c r="DV14" s="64"/>
      <c r="DW14" s="64"/>
      <c r="DX14" s="64"/>
      <c r="DZ14" s="64"/>
      <c r="EA14" s="64"/>
      <c r="EB14" s="64"/>
      <c r="EC14" s="64"/>
      <c r="ED14" s="64"/>
      <c r="EE14" s="64"/>
      <c r="EG14" s="65"/>
      <c r="EH14" s="65"/>
      <c r="EI14" s="65"/>
      <c r="EJ14" s="65"/>
      <c r="EK14" s="65"/>
      <c r="EL14" s="65"/>
      <c r="EN14" s="65"/>
      <c r="EO14" s="65"/>
      <c r="EP14" s="65"/>
      <c r="EQ14" s="65"/>
      <c r="ER14" s="65"/>
      <c r="ES14" s="65"/>
      <c r="EU14" s="65"/>
      <c r="EV14" s="65"/>
      <c r="EW14" s="65"/>
      <c r="EX14" s="65"/>
      <c r="EY14" s="65"/>
      <c r="EZ14" s="65"/>
      <c r="FB14" s="65"/>
      <c r="FC14" s="65"/>
      <c r="FD14" s="65"/>
      <c r="FE14" s="65"/>
      <c r="FF14" s="65"/>
      <c r="FG14" s="65"/>
      <c r="FI14" s="65"/>
      <c r="FJ14" s="65"/>
      <c r="FK14" s="65"/>
      <c r="FL14" s="65"/>
      <c r="FM14" s="65"/>
      <c r="FN14" s="65"/>
      <c r="FP14" s="65"/>
      <c r="FQ14" s="65"/>
      <c r="FR14" s="65"/>
      <c r="FS14" s="65"/>
      <c r="FT14" s="65"/>
      <c r="FU14" s="65"/>
      <c r="FW14" s="65"/>
      <c r="FX14" s="65"/>
      <c r="FY14" s="65"/>
      <c r="FZ14" s="65"/>
      <c r="GA14" s="65"/>
      <c r="GB14" s="65"/>
      <c r="GD14" s="65"/>
      <c r="GE14" s="65"/>
      <c r="GF14" s="65"/>
      <c r="GG14" s="65"/>
      <c r="GH14" s="65"/>
      <c r="GI14" s="65"/>
      <c r="GK14" s="65"/>
      <c r="GL14" s="65"/>
      <c r="GM14" s="65"/>
      <c r="GN14" s="65"/>
      <c r="GO14" s="65"/>
      <c r="GP14" s="65"/>
      <c r="GR14" s="65"/>
      <c r="GS14" s="65"/>
      <c r="GT14" s="65"/>
      <c r="GU14" s="65"/>
      <c r="GV14" s="65"/>
      <c r="GW14" s="65"/>
      <c r="GY14" s="65"/>
      <c r="GZ14" s="65"/>
      <c r="HA14" s="65"/>
      <c r="HB14" s="65"/>
      <c r="HC14" s="65"/>
      <c r="HD14" s="65"/>
      <c r="HF14" s="65"/>
      <c r="HG14" s="65"/>
      <c r="HH14" s="65"/>
      <c r="HI14" s="65"/>
      <c r="HJ14" s="65"/>
      <c r="HK14" s="65"/>
    </row>
    <row r="15" spans="1:227" ht="15.75" x14ac:dyDescent="0.25">
      <c r="A15" s="34">
        <f>'TEACHERS DETAILS'!A15</f>
        <v>14</v>
      </c>
      <c r="B15" s="34">
        <f>'TEACHERS DETAILS'!B15</f>
        <v>0</v>
      </c>
      <c r="C15" s="34">
        <f>'TEACHERS DETAILS'!E15</f>
        <v>0</v>
      </c>
      <c r="D15" s="34">
        <f>'TEACHERS DETAILS'!L15</f>
        <v>0</v>
      </c>
      <c r="E15" s="34">
        <f>'TEACHERS DETAILS'!J15</f>
        <v>0</v>
      </c>
      <c r="F15" s="34">
        <f>'TEACHERS DETAILS'!U15</f>
        <v>0</v>
      </c>
      <c r="G15" s="34">
        <f>'TEACHERS DETAILS'!C15</f>
        <v>0</v>
      </c>
      <c r="H15" s="35"/>
      <c r="R15" s="63"/>
      <c r="S15" s="63"/>
      <c r="T15" s="63"/>
      <c r="U15" s="63"/>
      <c r="V15" s="63"/>
      <c r="W15" s="63"/>
      <c r="Y15" s="65"/>
      <c r="Z15" s="65"/>
      <c r="AA15" s="65"/>
      <c r="AB15" s="65"/>
      <c r="AC15" s="65"/>
      <c r="AD15" s="65"/>
      <c r="AF15" s="65"/>
      <c r="AG15" s="65"/>
      <c r="AH15" s="65"/>
      <c r="AI15" s="65"/>
      <c r="AJ15" s="65"/>
      <c r="AK15" s="65"/>
      <c r="AM15" s="65"/>
      <c r="AN15" s="65"/>
      <c r="AO15" s="65"/>
      <c r="AP15" s="65"/>
      <c r="AQ15" s="65"/>
      <c r="AR15" s="65"/>
      <c r="AT15" s="65"/>
      <c r="AU15" s="65"/>
      <c r="AV15" s="65"/>
      <c r="AW15" s="65"/>
      <c r="AX15" s="65"/>
      <c r="AY15" s="65"/>
      <c r="BA15" s="65"/>
      <c r="BB15" s="65"/>
      <c r="BC15" s="65"/>
      <c r="BD15" s="65"/>
      <c r="BE15" s="65"/>
      <c r="BF15" s="65"/>
      <c r="BH15" s="65"/>
      <c r="BI15" s="65"/>
      <c r="BJ15" s="65"/>
      <c r="BK15" s="65"/>
      <c r="BL15" s="65"/>
      <c r="BM15" s="65"/>
      <c r="BO15" s="65"/>
      <c r="BP15" s="65"/>
      <c r="BQ15" s="65"/>
      <c r="BR15" s="65"/>
      <c r="BS15" s="65"/>
      <c r="BT15" s="65"/>
      <c r="BV15" s="65"/>
      <c r="BW15" s="65"/>
      <c r="BX15" s="65"/>
      <c r="BY15" s="65"/>
      <c r="BZ15" s="65"/>
      <c r="CA15" s="65"/>
      <c r="CC15" s="65"/>
      <c r="CD15" s="65"/>
      <c r="CE15" s="65"/>
      <c r="CF15" s="65"/>
      <c r="CG15" s="65"/>
      <c r="CH15" s="65"/>
      <c r="CJ15" s="65"/>
      <c r="CK15" s="65"/>
      <c r="CL15" s="65"/>
      <c r="CM15" s="65"/>
      <c r="CN15" s="65"/>
      <c r="CO15" s="65"/>
      <c r="CQ15" s="65"/>
      <c r="CR15" s="65"/>
      <c r="CS15" s="65"/>
      <c r="CT15" s="65"/>
      <c r="CU15" s="65"/>
      <c r="CV15" s="65"/>
      <c r="CX15" s="65"/>
      <c r="CY15" s="65"/>
      <c r="CZ15" s="65"/>
      <c r="DA15" s="65"/>
      <c r="DB15" s="65"/>
      <c r="DC15" s="65"/>
      <c r="DE15" s="65"/>
      <c r="DF15" s="65"/>
      <c r="DG15" s="65"/>
      <c r="DH15" s="65"/>
      <c r="DI15" s="65"/>
      <c r="DJ15" s="65"/>
      <c r="DL15" s="65"/>
      <c r="DM15" s="65"/>
      <c r="DN15" s="65"/>
      <c r="DO15" s="65"/>
      <c r="DP15" s="65"/>
      <c r="DQ15" s="65"/>
      <c r="DS15" s="64"/>
      <c r="DT15" s="64"/>
      <c r="DU15" s="64"/>
      <c r="DV15" s="64"/>
      <c r="DW15" s="64"/>
      <c r="DX15" s="64"/>
      <c r="DZ15" s="64"/>
      <c r="EA15" s="64"/>
      <c r="EB15" s="64"/>
      <c r="EC15" s="64"/>
      <c r="ED15" s="64"/>
      <c r="EE15" s="64"/>
      <c r="EG15" s="65"/>
      <c r="EH15" s="65"/>
      <c r="EI15" s="65"/>
      <c r="EJ15" s="65"/>
      <c r="EK15" s="65"/>
      <c r="EL15" s="65"/>
      <c r="EN15" s="65"/>
      <c r="EO15" s="65"/>
      <c r="EP15" s="65"/>
      <c r="EQ15" s="65"/>
      <c r="ER15" s="65"/>
      <c r="ES15" s="65"/>
      <c r="EU15" s="65"/>
      <c r="EV15" s="65"/>
      <c r="EW15" s="65"/>
      <c r="EX15" s="65"/>
      <c r="EY15" s="65"/>
      <c r="EZ15" s="65"/>
      <c r="FB15" s="65"/>
      <c r="FC15" s="65"/>
      <c r="FD15" s="65"/>
      <c r="FE15" s="65"/>
      <c r="FF15" s="65"/>
      <c r="FG15" s="65"/>
      <c r="FI15" s="65"/>
      <c r="FJ15" s="65"/>
      <c r="FK15" s="65"/>
      <c r="FL15" s="65"/>
      <c r="FM15" s="65"/>
      <c r="FN15" s="65"/>
      <c r="FP15" s="65"/>
      <c r="FQ15" s="65"/>
      <c r="FR15" s="65"/>
      <c r="FS15" s="65"/>
      <c r="FT15" s="65"/>
      <c r="FU15" s="65"/>
      <c r="FW15" s="65"/>
      <c r="FX15" s="65"/>
      <c r="FY15" s="65"/>
      <c r="FZ15" s="65"/>
      <c r="GA15" s="65"/>
      <c r="GB15" s="65"/>
      <c r="GD15" s="65"/>
      <c r="GE15" s="65"/>
      <c r="GF15" s="65"/>
      <c r="GG15" s="65"/>
      <c r="GH15" s="65"/>
      <c r="GI15" s="65"/>
      <c r="GK15" s="65"/>
      <c r="GL15" s="65"/>
      <c r="GM15" s="65"/>
      <c r="GN15" s="65"/>
      <c r="GO15" s="65"/>
      <c r="GP15" s="65"/>
      <c r="GR15" s="65"/>
      <c r="GS15" s="65"/>
      <c r="GT15" s="65"/>
      <c r="GU15" s="65"/>
      <c r="GV15" s="65"/>
      <c r="GW15" s="65"/>
      <c r="GY15" s="65"/>
      <c r="GZ15" s="65"/>
      <c r="HA15" s="65"/>
      <c r="HB15" s="65"/>
      <c r="HC15" s="65"/>
      <c r="HD15" s="65"/>
      <c r="HF15" s="65"/>
      <c r="HG15" s="65"/>
      <c r="HH15" s="65"/>
      <c r="HI15" s="65"/>
      <c r="HJ15" s="65"/>
      <c r="HK15" s="65"/>
    </row>
    <row r="16" spans="1:227" ht="15.75" x14ac:dyDescent="0.25">
      <c r="A16" s="34">
        <f>'TEACHERS DETAILS'!A16</f>
        <v>15</v>
      </c>
      <c r="B16" s="34">
        <f>'TEACHERS DETAILS'!B16</f>
        <v>0</v>
      </c>
      <c r="C16" s="34">
        <f>'TEACHERS DETAILS'!E16</f>
        <v>0</v>
      </c>
      <c r="D16" s="34">
        <f>'TEACHERS DETAILS'!L16</f>
        <v>0</v>
      </c>
      <c r="E16" s="34">
        <f>'TEACHERS DETAILS'!J16</f>
        <v>0</v>
      </c>
      <c r="F16" s="34">
        <f>'TEACHERS DETAILS'!U16</f>
        <v>0</v>
      </c>
      <c r="G16" s="34">
        <f>'TEACHERS DETAILS'!C16</f>
        <v>0</v>
      </c>
      <c r="H16" s="35"/>
      <c r="R16" s="63"/>
      <c r="S16" s="63"/>
      <c r="T16" s="63"/>
      <c r="U16" s="63"/>
      <c r="V16" s="63"/>
      <c r="W16" s="63"/>
      <c r="Y16" s="65"/>
      <c r="Z16" s="65"/>
      <c r="AA16" s="65"/>
      <c r="AB16" s="65"/>
      <c r="AC16" s="65"/>
      <c r="AD16" s="65"/>
      <c r="AF16" s="65"/>
      <c r="AG16" s="65"/>
      <c r="AH16" s="65"/>
      <c r="AI16" s="65"/>
      <c r="AJ16" s="65"/>
      <c r="AK16" s="65"/>
      <c r="AM16" s="65"/>
      <c r="AN16" s="65"/>
      <c r="AO16" s="65"/>
      <c r="AP16" s="65"/>
      <c r="AQ16" s="65"/>
      <c r="AR16" s="65"/>
      <c r="AT16" s="65"/>
      <c r="AU16" s="65"/>
      <c r="AV16" s="65"/>
      <c r="AW16" s="65"/>
      <c r="AX16" s="65"/>
      <c r="AY16" s="65"/>
      <c r="BA16" s="65"/>
      <c r="BB16" s="65"/>
      <c r="BC16" s="65"/>
      <c r="BD16" s="65"/>
      <c r="BE16" s="65"/>
      <c r="BF16" s="65"/>
      <c r="BH16" s="65"/>
      <c r="BI16" s="65"/>
      <c r="BJ16" s="65"/>
      <c r="BK16" s="65"/>
      <c r="BL16" s="65"/>
      <c r="BM16" s="65"/>
      <c r="BO16" s="65"/>
      <c r="BP16" s="65"/>
      <c r="BQ16" s="65"/>
      <c r="BR16" s="65"/>
      <c r="BS16" s="65"/>
      <c r="BT16" s="65"/>
      <c r="BV16" s="65"/>
      <c r="BW16" s="65"/>
      <c r="BX16" s="65"/>
      <c r="BY16" s="65"/>
      <c r="BZ16" s="65"/>
      <c r="CA16" s="65"/>
      <c r="CC16" s="65"/>
      <c r="CD16" s="65"/>
      <c r="CE16" s="65"/>
      <c r="CF16" s="65"/>
      <c r="CG16" s="65"/>
      <c r="CH16" s="65"/>
      <c r="CJ16" s="65"/>
      <c r="CK16" s="65"/>
      <c r="CL16" s="65"/>
      <c r="CM16" s="65"/>
      <c r="CN16" s="65"/>
      <c r="CO16" s="65"/>
      <c r="CQ16" s="65"/>
      <c r="CR16" s="65"/>
      <c r="CS16" s="65"/>
      <c r="CT16" s="65"/>
      <c r="CU16" s="65"/>
      <c r="CV16" s="65"/>
      <c r="CX16" s="65"/>
      <c r="CY16" s="65"/>
      <c r="CZ16" s="65"/>
      <c r="DA16" s="65"/>
      <c r="DB16" s="65"/>
      <c r="DC16" s="65"/>
      <c r="DE16" s="65"/>
      <c r="DF16" s="65"/>
      <c r="DG16" s="65"/>
      <c r="DH16" s="65"/>
      <c r="DI16" s="65"/>
      <c r="DJ16" s="65"/>
      <c r="DL16" s="65"/>
      <c r="DM16" s="65"/>
      <c r="DN16" s="65"/>
      <c r="DO16" s="65"/>
      <c r="DP16" s="65"/>
      <c r="DQ16" s="65"/>
      <c r="DS16" s="64"/>
      <c r="DT16" s="64"/>
      <c r="DU16" s="64"/>
      <c r="DV16" s="64"/>
      <c r="DW16" s="64"/>
      <c r="DX16" s="64"/>
      <c r="DZ16" s="64"/>
      <c r="EA16" s="64"/>
      <c r="EB16" s="64"/>
      <c r="EC16" s="64"/>
      <c r="ED16" s="64"/>
      <c r="EE16" s="64"/>
      <c r="EG16" s="65"/>
      <c r="EH16" s="65"/>
      <c r="EI16" s="65"/>
      <c r="EJ16" s="65"/>
      <c r="EK16" s="65"/>
      <c r="EL16" s="65"/>
      <c r="EN16" s="65"/>
      <c r="EO16" s="65"/>
      <c r="EP16" s="65"/>
      <c r="EQ16" s="65"/>
      <c r="ER16" s="65"/>
      <c r="ES16" s="65"/>
      <c r="EU16" s="65"/>
      <c r="EV16" s="65"/>
      <c r="EW16" s="65"/>
      <c r="EX16" s="65"/>
      <c r="EY16" s="65"/>
      <c r="EZ16" s="65"/>
      <c r="FB16" s="65"/>
      <c r="FC16" s="65"/>
      <c r="FD16" s="65"/>
      <c r="FE16" s="65"/>
      <c r="FF16" s="65"/>
      <c r="FG16" s="65"/>
      <c r="FI16" s="65"/>
      <c r="FJ16" s="65"/>
      <c r="FK16" s="65"/>
      <c r="FL16" s="65"/>
      <c r="FM16" s="65"/>
      <c r="FN16" s="65"/>
      <c r="FP16" s="65"/>
      <c r="FQ16" s="65"/>
      <c r="FR16" s="65"/>
      <c r="FS16" s="65"/>
      <c r="FT16" s="65"/>
      <c r="FU16" s="65"/>
      <c r="FW16" s="65"/>
      <c r="FX16" s="65"/>
      <c r="FY16" s="65"/>
      <c r="FZ16" s="65"/>
      <c r="GA16" s="65"/>
      <c r="GB16" s="65"/>
      <c r="GD16" s="65"/>
      <c r="GE16" s="65"/>
      <c r="GF16" s="65"/>
      <c r="GG16" s="65"/>
      <c r="GH16" s="65"/>
      <c r="GI16" s="65"/>
      <c r="GK16" s="65"/>
      <c r="GL16" s="65"/>
      <c r="GM16" s="65"/>
      <c r="GN16" s="65"/>
      <c r="GO16" s="65"/>
      <c r="GP16" s="65"/>
      <c r="GR16" s="65"/>
      <c r="GS16" s="65"/>
      <c r="GT16" s="65"/>
      <c r="GU16" s="65"/>
      <c r="GV16" s="65"/>
      <c r="GW16" s="65"/>
      <c r="GY16" s="65"/>
      <c r="GZ16" s="65"/>
      <c r="HA16" s="65"/>
      <c r="HB16" s="65"/>
      <c r="HC16" s="65"/>
      <c r="HD16" s="65"/>
      <c r="HF16" s="65"/>
      <c r="HG16" s="65"/>
      <c r="HH16" s="65"/>
      <c r="HI16" s="65"/>
      <c r="HJ16" s="65"/>
      <c r="HK16" s="65"/>
    </row>
    <row r="17" spans="1:219" ht="15.75" x14ac:dyDescent="0.25">
      <c r="A17" s="34">
        <f>'TEACHERS DETAILS'!A17</f>
        <v>16</v>
      </c>
      <c r="B17" s="34">
        <f>'TEACHERS DETAILS'!B17</f>
        <v>0</v>
      </c>
      <c r="C17" s="34">
        <f>'TEACHERS DETAILS'!E17</f>
        <v>0</v>
      </c>
      <c r="D17" s="34">
        <f>'TEACHERS DETAILS'!L17</f>
        <v>0</v>
      </c>
      <c r="E17" s="34">
        <f>'TEACHERS DETAILS'!J17</f>
        <v>0</v>
      </c>
      <c r="F17" s="34">
        <f>'TEACHERS DETAILS'!U17</f>
        <v>0</v>
      </c>
      <c r="G17" s="34">
        <f>'TEACHERS DETAILS'!C17</f>
        <v>0</v>
      </c>
      <c r="H17" s="35"/>
      <c r="R17" s="63"/>
      <c r="S17" s="63"/>
      <c r="T17" s="63"/>
      <c r="U17" s="63"/>
      <c r="V17" s="63"/>
      <c r="W17" s="63"/>
      <c r="Y17" s="65"/>
      <c r="Z17" s="65"/>
      <c r="AA17" s="65"/>
      <c r="AB17" s="65"/>
      <c r="AC17" s="65"/>
      <c r="AD17" s="65"/>
      <c r="AF17" s="65"/>
      <c r="AG17" s="65"/>
      <c r="AH17" s="65"/>
      <c r="AI17" s="65"/>
      <c r="AJ17" s="65"/>
      <c r="AK17" s="65"/>
      <c r="AM17" s="65"/>
      <c r="AN17" s="65"/>
      <c r="AO17" s="65"/>
      <c r="AP17" s="65"/>
      <c r="AQ17" s="65"/>
      <c r="AR17" s="65"/>
      <c r="AT17" s="65"/>
      <c r="AU17" s="65"/>
      <c r="AV17" s="65"/>
      <c r="AW17" s="65"/>
      <c r="AX17" s="65"/>
      <c r="AY17" s="65"/>
      <c r="BA17" s="65"/>
      <c r="BB17" s="65"/>
      <c r="BC17" s="65"/>
      <c r="BD17" s="65"/>
      <c r="BE17" s="65"/>
      <c r="BF17" s="65"/>
      <c r="BH17" s="65"/>
      <c r="BI17" s="65"/>
      <c r="BJ17" s="65"/>
      <c r="BK17" s="65"/>
      <c r="BL17" s="65"/>
      <c r="BM17" s="65"/>
      <c r="BO17" s="65"/>
      <c r="BP17" s="65"/>
      <c r="BQ17" s="65"/>
      <c r="BR17" s="65"/>
      <c r="BS17" s="65"/>
      <c r="BT17" s="65"/>
      <c r="BV17" s="65"/>
      <c r="BW17" s="65"/>
      <c r="BX17" s="65"/>
      <c r="BY17" s="65"/>
      <c r="BZ17" s="65"/>
      <c r="CA17" s="65"/>
      <c r="CC17" s="65"/>
      <c r="CD17" s="65"/>
      <c r="CE17" s="65"/>
      <c r="CF17" s="65"/>
      <c r="CG17" s="65"/>
      <c r="CH17" s="65"/>
      <c r="CJ17" s="65"/>
      <c r="CK17" s="65"/>
      <c r="CL17" s="65"/>
      <c r="CM17" s="65"/>
      <c r="CN17" s="65"/>
      <c r="CO17" s="65"/>
      <c r="CQ17" s="65"/>
      <c r="CR17" s="65"/>
      <c r="CS17" s="65"/>
      <c r="CT17" s="65"/>
      <c r="CU17" s="65"/>
      <c r="CV17" s="65"/>
      <c r="CX17" s="65"/>
      <c r="CY17" s="65"/>
      <c r="CZ17" s="65"/>
      <c r="DA17" s="65"/>
      <c r="DB17" s="65"/>
      <c r="DC17" s="65"/>
      <c r="DE17" s="65"/>
      <c r="DF17" s="65"/>
      <c r="DG17" s="65"/>
      <c r="DH17" s="65"/>
      <c r="DI17" s="65"/>
      <c r="DJ17" s="65"/>
      <c r="DL17" s="65"/>
      <c r="DM17" s="65"/>
      <c r="DN17" s="65"/>
      <c r="DO17" s="65"/>
      <c r="DP17" s="65"/>
      <c r="DQ17" s="65"/>
      <c r="DS17" s="64"/>
      <c r="DT17" s="64"/>
      <c r="DU17" s="64"/>
      <c r="DV17" s="64"/>
      <c r="DW17" s="64"/>
      <c r="DX17" s="64"/>
      <c r="DZ17" s="64"/>
      <c r="EA17" s="64"/>
      <c r="EB17" s="64"/>
      <c r="EC17" s="64"/>
      <c r="ED17" s="64"/>
      <c r="EE17" s="64"/>
      <c r="EG17" s="65"/>
      <c r="EH17" s="65"/>
      <c r="EI17" s="65"/>
      <c r="EJ17" s="65"/>
      <c r="EK17" s="65"/>
      <c r="EL17" s="65"/>
      <c r="EN17" s="65"/>
      <c r="EO17" s="65"/>
      <c r="EP17" s="65"/>
      <c r="EQ17" s="65"/>
      <c r="ER17" s="65"/>
      <c r="ES17" s="65"/>
      <c r="EU17" s="65"/>
      <c r="EV17" s="65"/>
      <c r="EW17" s="65"/>
      <c r="EX17" s="65"/>
      <c r="EY17" s="65"/>
      <c r="EZ17" s="65"/>
      <c r="FB17" s="65"/>
      <c r="FC17" s="65"/>
      <c r="FD17" s="65"/>
      <c r="FE17" s="65"/>
      <c r="FF17" s="65"/>
      <c r="FG17" s="65"/>
      <c r="FI17" s="65"/>
      <c r="FJ17" s="65"/>
      <c r="FK17" s="65"/>
      <c r="FL17" s="65"/>
      <c r="FM17" s="65"/>
      <c r="FN17" s="65"/>
      <c r="FP17" s="65"/>
      <c r="FQ17" s="65"/>
      <c r="FR17" s="65"/>
      <c r="FS17" s="65"/>
      <c r="FT17" s="65"/>
      <c r="FU17" s="65"/>
      <c r="FW17" s="65"/>
      <c r="FX17" s="65"/>
      <c r="FY17" s="65"/>
      <c r="FZ17" s="65"/>
      <c r="GA17" s="65"/>
      <c r="GB17" s="65"/>
      <c r="GD17" s="65"/>
      <c r="GE17" s="65"/>
      <c r="GF17" s="65"/>
      <c r="GG17" s="65"/>
      <c r="GH17" s="65"/>
      <c r="GI17" s="65"/>
      <c r="GK17" s="65"/>
      <c r="GL17" s="65"/>
      <c r="GM17" s="65"/>
      <c r="GN17" s="65"/>
      <c r="GO17" s="65"/>
      <c r="GP17" s="65"/>
      <c r="GR17" s="65"/>
      <c r="GS17" s="65"/>
      <c r="GT17" s="65"/>
      <c r="GU17" s="65"/>
      <c r="GV17" s="65"/>
      <c r="GW17" s="65"/>
      <c r="GY17" s="65"/>
      <c r="GZ17" s="65"/>
      <c r="HA17" s="65"/>
      <c r="HB17" s="65"/>
      <c r="HC17" s="65"/>
      <c r="HD17" s="65"/>
      <c r="HF17" s="65"/>
      <c r="HG17" s="65"/>
      <c r="HH17" s="65"/>
      <c r="HI17" s="65"/>
      <c r="HJ17" s="65"/>
      <c r="HK17" s="65"/>
    </row>
    <row r="18" spans="1:219" ht="15.75" x14ac:dyDescent="0.25">
      <c r="A18" s="34">
        <f>'TEACHERS DETAILS'!A18</f>
        <v>17</v>
      </c>
      <c r="B18" s="34">
        <f>'TEACHERS DETAILS'!B18</f>
        <v>0</v>
      </c>
      <c r="C18" s="34">
        <f>'TEACHERS DETAILS'!E18</f>
        <v>0</v>
      </c>
      <c r="D18" s="34">
        <f>'TEACHERS DETAILS'!L18</f>
        <v>0</v>
      </c>
      <c r="E18" s="34">
        <f>'TEACHERS DETAILS'!J18</f>
        <v>0</v>
      </c>
      <c r="F18" s="34">
        <f>'TEACHERS DETAILS'!U18</f>
        <v>0</v>
      </c>
      <c r="G18" s="34">
        <f>'TEACHERS DETAILS'!C18</f>
        <v>0</v>
      </c>
      <c r="H18" s="35"/>
      <c r="R18" s="63"/>
      <c r="S18" s="63"/>
      <c r="T18" s="63"/>
      <c r="U18" s="63"/>
      <c r="V18" s="63"/>
      <c r="W18" s="63"/>
      <c r="Y18" s="65"/>
      <c r="Z18" s="65"/>
      <c r="AA18" s="65"/>
      <c r="AB18" s="65"/>
      <c r="AC18" s="65"/>
      <c r="AD18" s="65"/>
      <c r="AF18" s="65"/>
      <c r="AG18" s="65"/>
      <c r="AH18" s="65"/>
      <c r="AI18" s="65"/>
      <c r="AJ18" s="65"/>
      <c r="AK18" s="65"/>
      <c r="AM18" s="65"/>
      <c r="AN18" s="65"/>
      <c r="AO18" s="65"/>
      <c r="AP18" s="65"/>
      <c r="AQ18" s="65"/>
      <c r="AR18" s="65"/>
      <c r="AT18" s="65"/>
      <c r="AU18" s="65"/>
      <c r="AV18" s="65"/>
      <c r="AW18" s="65"/>
      <c r="AX18" s="65"/>
      <c r="AY18" s="65"/>
      <c r="BA18" s="65"/>
      <c r="BB18" s="65"/>
      <c r="BC18" s="65"/>
      <c r="BD18" s="65"/>
      <c r="BE18" s="65"/>
      <c r="BF18" s="65"/>
      <c r="BH18" s="65"/>
      <c r="BI18" s="65"/>
      <c r="BJ18" s="65"/>
      <c r="BK18" s="65"/>
      <c r="BL18" s="65"/>
      <c r="BM18" s="65"/>
      <c r="BO18" s="65"/>
      <c r="BP18" s="65"/>
      <c r="BQ18" s="65"/>
      <c r="BR18" s="65"/>
      <c r="BS18" s="65"/>
      <c r="BT18" s="65"/>
      <c r="BV18" s="65"/>
      <c r="BW18" s="65"/>
      <c r="BX18" s="65"/>
      <c r="BY18" s="65"/>
      <c r="BZ18" s="65"/>
      <c r="CA18" s="65"/>
      <c r="CC18" s="65"/>
      <c r="CD18" s="65"/>
      <c r="CE18" s="65"/>
      <c r="CF18" s="65"/>
      <c r="CG18" s="65"/>
      <c r="CH18" s="65"/>
      <c r="CJ18" s="65"/>
      <c r="CK18" s="65"/>
      <c r="CL18" s="65"/>
      <c r="CM18" s="65"/>
      <c r="CN18" s="65"/>
      <c r="CO18" s="65"/>
      <c r="CQ18" s="65"/>
      <c r="CR18" s="65"/>
      <c r="CS18" s="65"/>
      <c r="CT18" s="65"/>
      <c r="CU18" s="65"/>
      <c r="CV18" s="65"/>
      <c r="CX18" s="65"/>
      <c r="CY18" s="65"/>
      <c r="CZ18" s="65"/>
      <c r="DA18" s="65"/>
      <c r="DB18" s="65"/>
      <c r="DC18" s="65"/>
      <c r="DE18" s="65"/>
      <c r="DF18" s="65"/>
      <c r="DG18" s="65"/>
      <c r="DH18" s="65"/>
      <c r="DI18" s="65"/>
      <c r="DJ18" s="65"/>
      <c r="DL18" s="65"/>
      <c r="DM18" s="65"/>
      <c r="DN18" s="65"/>
      <c r="DO18" s="65"/>
      <c r="DP18" s="65"/>
      <c r="DQ18" s="65"/>
      <c r="DS18" s="64"/>
      <c r="DT18" s="64"/>
      <c r="DU18" s="64"/>
      <c r="DV18" s="64"/>
      <c r="DW18" s="64"/>
      <c r="DX18" s="64"/>
      <c r="DZ18" s="64"/>
      <c r="EA18" s="64"/>
      <c r="EB18" s="64"/>
      <c r="EC18" s="64"/>
      <c r="ED18" s="64"/>
      <c r="EE18" s="64"/>
      <c r="EG18" s="65"/>
      <c r="EH18" s="65"/>
      <c r="EI18" s="65"/>
      <c r="EJ18" s="65"/>
      <c r="EK18" s="65"/>
      <c r="EL18" s="65"/>
      <c r="EN18" s="65"/>
      <c r="EO18" s="65"/>
      <c r="EP18" s="65"/>
      <c r="EQ18" s="65"/>
      <c r="ER18" s="65"/>
      <c r="ES18" s="65"/>
      <c r="EU18" s="65"/>
      <c r="EV18" s="65"/>
      <c r="EW18" s="65"/>
      <c r="EX18" s="65"/>
      <c r="EY18" s="65"/>
      <c r="EZ18" s="65"/>
      <c r="FB18" s="65"/>
      <c r="FC18" s="65"/>
      <c r="FD18" s="65"/>
      <c r="FE18" s="65"/>
      <c r="FF18" s="65"/>
      <c r="FG18" s="65"/>
      <c r="FI18" s="65"/>
      <c r="FJ18" s="65"/>
      <c r="FK18" s="65"/>
      <c r="FL18" s="65"/>
      <c r="FM18" s="65"/>
      <c r="FN18" s="65"/>
      <c r="FP18" s="65"/>
      <c r="FQ18" s="65"/>
      <c r="FR18" s="65"/>
      <c r="FS18" s="65"/>
      <c r="FT18" s="65"/>
      <c r="FU18" s="65"/>
      <c r="FW18" s="65"/>
      <c r="FX18" s="65"/>
      <c r="FY18" s="65"/>
      <c r="FZ18" s="65"/>
      <c r="GA18" s="65"/>
      <c r="GB18" s="65"/>
      <c r="GD18" s="65"/>
      <c r="GE18" s="65"/>
      <c r="GF18" s="65"/>
      <c r="GG18" s="65"/>
      <c r="GH18" s="65"/>
      <c r="GI18" s="65"/>
      <c r="GK18" s="65"/>
      <c r="GL18" s="65"/>
      <c r="GM18" s="65"/>
      <c r="GN18" s="65"/>
      <c r="GO18" s="65"/>
      <c r="GP18" s="65"/>
      <c r="GR18" s="65"/>
      <c r="GS18" s="65"/>
      <c r="GT18" s="65"/>
      <c r="GU18" s="65"/>
      <c r="GV18" s="65"/>
      <c r="GW18" s="65"/>
      <c r="GY18" s="65"/>
      <c r="GZ18" s="65"/>
      <c r="HA18" s="65"/>
      <c r="HB18" s="65"/>
      <c r="HC18" s="65"/>
      <c r="HD18" s="65"/>
      <c r="HF18" s="65"/>
      <c r="HG18" s="65"/>
      <c r="HH18" s="65"/>
      <c r="HI18" s="65"/>
      <c r="HJ18" s="65"/>
      <c r="HK18" s="65"/>
    </row>
    <row r="19" spans="1:219" ht="15.75" x14ac:dyDescent="0.25">
      <c r="A19" s="34">
        <f>'TEACHERS DETAILS'!A19</f>
        <v>18</v>
      </c>
      <c r="B19" s="34">
        <f>'TEACHERS DETAILS'!B19</f>
        <v>0</v>
      </c>
      <c r="C19" s="34">
        <f>'TEACHERS DETAILS'!E19</f>
        <v>0</v>
      </c>
      <c r="D19" s="34">
        <f>'TEACHERS DETAILS'!L19</f>
        <v>0</v>
      </c>
      <c r="E19" s="34">
        <f>'TEACHERS DETAILS'!J19</f>
        <v>0</v>
      </c>
      <c r="F19" s="34">
        <f>'TEACHERS DETAILS'!U19</f>
        <v>0</v>
      </c>
      <c r="G19" s="34">
        <f>'TEACHERS DETAILS'!C19</f>
        <v>0</v>
      </c>
      <c r="H19" s="35"/>
      <c r="R19" s="63"/>
      <c r="S19" s="63"/>
      <c r="T19" s="63"/>
      <c r="U19" s="63"/>
      <c r="V19" s="63"/>
      <c r="W19" s="63"/>
      <c r="Y19" s="65"/>
      <c r="Z19" s="65"/>
      <c r="AA19" s="65"/>
      <c r="AB19" s="65"/>
      <c r="AC19" s="65"/>
      <c r="AD19" s="65"/>
      <c r="AF19" s="65"/>
      <c r="AG19" s="65"/>
      <c r="AH19" s="65"/>
      <c r="AI19" s="65"/>
      <c r="AJ19" s="65"/>
      <c r="AK19" s="65"/>
      <c r="AM19" s="65"/>
      <c r="AN19" s="65"/>
      <c r="AO19" s="65"/>
      <c r="AP19" s="65"/>
      <c r="AQ19" s="65"/>
      <c r="AR19" s="65"/>
      <c r="AT19" s="65"/>
      <c r="AU19" s="65"/>
      <c r="AV19" s="65"/>
      <c r="AW19" s="65"/>
      <c r="AX19" s="65"/>
      <c r="AY19" s="65"/>
      <c r="BA19" s="65"/>
      <c r="BB19" s="65"/>
      <c r="BC19" s="65"/>
      <c r="BD19" s="65"/>
      <c r="BE19" s="65"/>
      <c r="BF19" s="65"/>
      <c r="BH19" s="65"/>
      <c r="BI19" s="65"/>
      <c r="BJ19" s="65"/>
      <c r="BK19" s="65"/>
      <c r="BL19" s="65"/>
      <c r="BM19" s="65"/>
      <c r="BO19" s="65"/>
      <c r="BP19" s="65"/>
      <c r="BQ19" s="65"/>
      <c r="BR19" s="65"/>
      <c r="BS19" s="65"/>
      <c r="BT19" s="65"/>
      <c r="BV19" s="65"/>
      <c r="BW19" s="65"/>
      <c r="BX19" s="65"/>
      <c r="BY19" s="65"/>
      <c r="BZ19" s="65"/>
      <c r="CA19" s="65"/>
      <c r="CC19" s="65"/>
      <c r="CD19" s="65"/>
      <c r="CE19" s="65"/>
      <c r="CF19" s="65"/>
      <c r="CG19" s="65"/>
      <c r="CH19" s="65"/>
      <c r="CJ19" s="65"/>
      <c r="CK19" s="65"/>
      <c r="CL19" s="65"/>
      <c r="CM19" s="65"/>
      <c r="CN19" s="65"/>
      <c r="CO19" s="65"/>
      <c r="CQ19" s="65"/>
      <c r="CR19" s="65"/>
      <c r="CS19" s="65"/>
      <c r="CT19" s="65"/>
      <c r="CU19" s="65"/>
      <c r="CV19" s="65"/>
      <c r="CX19" s="65"/>
      <c r="CY19" s="65"/>
      <c r="CZ19" s="65"/>
      <c r="DA19" s="65"/>
      <c r="DB19" s="65"/>
      <c r="DC19" s="65"/>
      <c r="DE19" s="65"/>
      <c r="DF19" s="65"/>
      <c r="DG19" s="65"/>
      <c r="DH19" s="65"/>
      <c r="DI19" s="65"/>
      <c r="DJ19" s="65"/>
      <c r="DL19" s="65"/>
      <c r="DM19" s="65"/>
      <c r="DN19" s="65"/>
      <c r="DO19" s="65"/>
      <c r="DP19" s="65"/>
      <c r="DQ19" s="65"/>
      <c r="DS19" s="64"/>
      <c r="DT19" s="64"/>
      <c r="DU19" s="64"/>
      <c r="DV19" s="64"/>
      <c r="DW19" s="64"/>
      <c r="DX19" s="64"/>
      <c r="DZ19" s="64"/>
      <c r="EA19" s="64"/>
      <c r="EB19" s="64"/>
      <c r="EC19" s="64"/>
      <c r="ED19" s="64"/>
      <c r="EE19" s="64"/>
      <c r="EG19" s="65"/>
      <c r="EH19" s="65"/>
      <c r="EI19" s="65"/>
      <c r="EJ19" s="65"/>
      <c r="EK19" s="65"/>
      <c r="EL19" s="65"/>
      <c r="EN19" s="65"/>
      <c r="EO19" s="65"/>
      <c r="EP19" s="65"/>
      <c r="EQ19" s="65"/>
      <c r="ER19" s="65"/>
      <c r="ES19" s="65"/>
      <c r="EU19" s="65"/>
      <c r="EV19" s="65"/>
      <c r="EW19" s="65"/>
      <c r="EX19" s="65"/>
      <c r="EY19" s="65"/>
      <c r="EZ19" s="65"/>
      <c r="FB19" s="65"/>
      <c r="FC19" s="65"/>
      <c r="FD19" s="65"/>
      <c r="FE19" s="65"/>
      <c r="FF19" s="65"/>
      <c r="FG19" s="65"/>
      <c r="FI19" s="65"/>
      <c r="FJ19" s="65"/>
      <c r="FK19" s="65"/>
      <c r="FL19" s="65"/>
      <c r="FM19" s="65"/>
      <c r="FN19" s="65"/>
      <c r="FP19" s="65"/>
      <c r="FQ19" s="65"/>
      <c r="FR19" s="65"/>
      <c r="FS19" s="65"/>
      <c r="FT19" s="65"/>
      <c r="FU19" s="65"/>
      <c r="FW19" s="65"/>
      <c r="FX19" s="65"/>
      <c r="FY19" s="65"/>
      <c r="FZ19" s="65"/>
      <c r="GA19" s="65"/>
      <c r="GB19" s="65"/>
      <c r="GD19" s="65"/>
      <c r="GE19" s="65"/>
      <c r="GF19" s="65"/>
      <c r="GG19" s="65"/>
      <c r="GH19" s="65"/>
      <c r="GI19" s="65"/>
      <c r="GK19" s="65"/>
      <c r="GL19" s="65"/>
      <c r="GM19" s="65"/>
      <c r="GN19" s="65"/>
      <c r="GO19" s="65"/>
      <c r="GP19" s="65"/>
      <c r="GR19" s="65"/>
      <c r="GS19" s="65"/>
      <c r="GT19" s="65"/>
      <c r="GU19" s="65"/>
      <c r="GV19" s="65"/>
      <c r="GW19" s="65"/>
      <c r="GY19" s="65"/>
      <c r="GZ19" s="65"/>
      <c r="HA19" s="65"/>
      <c r="HB19" s="65"/>
      <c r="HC19" s="65"/>
      <c r="HD19" s="65"/>
      <c r="HF19" s="65"/>
      <c r="HG19" s="65"/>
      <c r="HH19" s="65"/>
      <c r="HI19" s="65"/>
      <c r="HJ19" s="65"/>
      <c r="HK19" s="65"/>
    </row>
    <row r="20" spans="1:219" ht="15.75" x14ac:dyDescent="0.25">
      <c r="A20" s="34">
        <f>'TEACHERS DETAILS'!A20</f>
        <v>19</v>
      </c>
      <c r="B20" s="34">
        <f>'TEACHERS DETAILS'!B20</f>
        <v>0</v>
      </c>
      <c r="C20" s="34">
        <f>'TEACHERS DETAILS'!E20</f>
        <v>0</v>
      </c>
      <c r="D20" s="34">
        <f>'TEACHERS DETAILS'!L20</f>
        <v>0</v>
      </c>
      <c r="E20" s="34">
        <f>'TEACHERS DETAILS'!J20</f>
        <v>0</v>
      </c>
      <c r="F20" s="34">
        <f>'TEACHERS DETAILS'!U20</f>
        <v>0</v>
      </c>
      <c r="G20" s="34">
        <f>'TEACHERS DETAILS'!C20</f>
        <v>0</v>
      </c>
      <c r="H20" s="35"/>
      <c r="R20" s="63"/>
      <c r="S20" s="63"/>
      <c r="T20" s="63"/>
      <c r="U20" s="63"/>
      <c r="V20" s="63"/>
      <c r="W20" s="63"/>
      <c r="Y20" s="65"/>
      <c r="Z20" s="65"/>
      <c r="AA20" s="65"/>
      <c r="AB20" s="65"/>
      <c r="AC20" s="65"/>
      <c r="AD20" s="65"/>
      <c r="AF20" s="65"/>
      <c r="AG20" s="65"/>
      <c r="AH20" s="65"/>
      <c r="AI20" s="65"/>
      <c r="AJ20" s="65"/>
      <c r="AK20" s="65"/>
      <c r="AM20" s="65"/>
      <c r="AN20" s="65"/>
      <c r="AO20" s="65"/>
      <c r="AP20" s="65"/>
      <c r="AQ20" s="65"/>
      <c r="AR20" s="65"/>
      <c r="AT20" s="65"/>
      <c r="AU20" s="65"/>
      <c r="AV20" s="65"/>
      <c r="AW20" s="65"/>
      <c r="AX20" s="65"/>
      <c r="AY20" s="65"/>
      <c r="BA20" s="65"/>
      <c r="BB20" s="65"/>
      <c r="BC20" s="65"/>
      <c r="BD20" s="65"/>
      <c r="BE20" s="65"/>
      <c r="BF20" s="65"/>
      <c r="BH20" s="65"/>
      <c r="BI20" s="65"/>
      <c r="BJ20" s="65"/>
      <c r="BK20" s="65"/>
      <c r="BL20" s="65"/>
      <c r="BM20" s="65"/>
      <c r="BO20" s="65"/>
      <c r="BP20" s="65"/>
      <c r="BQ20" s="65"/>
      <c r="BR20" s="65"/>
      <c r="BS20" s="65"/>
      <c r="BT20" s="65"/>
      <c r="BV20" s="65"/>
      <c r="BW20" s="65"/>
      <c r="BX20" s="65"/>
      <c r="BY20" s="65"/>
      <c r="BZ20" s="65"/>
      <c r="CA20" s="65"/>
      <c r="CC20" s="65"/>
      <c r="CD20" s="65"/>
      <c r="CE20" s="65"/>
      <c r="CF20" s="65"/>
      <c r="CG20" s="65"/>
      <c r="CH20" s="65"/>
      <c r="CJ20" s="65"/>
      <c r="CK20" s="65"/>
      <c r="CL20" s="65"/>
      <c r="CM20" s="65"/>
      <c r="CN20" s="65"/>
      <c r="CO20" s="65"/>
      <c r="CQ20" s="65"/>
      <c r="CR20" s="65"/>
      <c r="CS20" s="65"/>
      <c r="CT20" s="65"/>
      <c r="CU20" s="65"/>
      <c r="CV20" s="65"/>
      <c r="CX20" s="65"/>
      <c r="CY20" s="65"/>
      <c r="CZ20" s="65"/>
      <c r="DA20" s="65"/>
      <c r="DB20" s="65"/>
      <c r="DC20" s="65"/>
      <c r="DE20" s="65"/>
      <c r="DF20" s="65"/>
      <c r="DG20" s="65"/>
      <c r="DH20" s="65"/>
      <c r="DI20" s="65"/>
      <c r="DJ20" s="65"/>
      <c r="DL20" s="65"/>
      <c r="DM20" s="65"/>
      <c r="DN20" s="65"/>
      <c r="DO20" s="65"/>
      <c r="DP20" s="65"/>
      <c r="DQ20" s="65"/>
      <c r="DS20" s="64"/>
      <c r="DT20" s="64"/>
      <c r="DU20" s="64"/>
      <c r="DV20" s="64"/>
      <c r="DW20" s="64"/>
      <c r="DX20" s="64"/>
      <c r="DZ20" s="64"/>
      <c r="EA20" s="64"/>
      <c r="EB20" s="64"/>
      <c r="EC20" s="64"/>
      <c r="ED20" s="64"/>
      <c r="EE20" s="64"/>
      <c r="EG20" s="65"/>
      <c r="EH20" s="65"/>
      <c r="EI20" s="65"/>
      <c r="EJ20" s="65"/>
      <c r="EK20" s="65"/>
      <c r="EL20" s="65"/>
      <c r="EN20" s="65"/>
      <c r="EO20" s="65"/>
      <c r="EP20" s="65"/>
      <c r="EQ20" s="65"/>
      <c r="ER20" s="65"/>
      <c r="ES20" s="65"/>
      <c r="EU20" s="65"/>
      <c r="EV20" s="65"/>
      <c r="EW20" s="65"/>
      <c r="EX20" s="65"/>
      <c r="EY20" s="65"/>
      <c r="EZ20" s="65"/>
      <c r="FB20" s="65"/>
      <c r="FC20" s="65"/>
      <c r="FD20" s="65"/>
      <c r="FE20" s="65"/>
      <c r="FF20" s="65"/>
      <c r="FG20" s="65"/>
      <c r="FI20" s="65"/>
      <c r="FJ20" s="65"/>
      <c r="FK20" s="65"/>
      <c r="FL20" s="65"/>
      <c r="FM20" s="65"/>
      <c r="FN20" s="65"/>
      <c r="FP20" s="65"/>
      <c r="FQ20" s="65"/>
      <c r="FR20" s="65"/>
      <c r="FS20" s="65"/>
      <c r="FT20" s="65"/>
      <c r="FU20" s="65"/>
      <c r="FW20" s="65"/>
      <c r="FX20" s="65"/>
      <c r="FY20" s="65"/>
      <c r="FZ20" s="65"/>
      <c r="GA20" s="65"/>
      <c r="GB20" s="65"/>
      <c r="GD20" s="65"/>
      <c r="GE20" s="65"/>
      <c r="GF20" s="65"/>
      <c r="GG20" s="65"/>
      <c r="GH20" s="65"/>
      <c r="GI20" s="65"/>
      <c r="GK20" s="65"/>
      <c r="GL20" s="65"/>
      <c r="GM20" s="65"/>
      <c r="GN20" s="65"/>
      <c r="GO20" s="65"/>
      <c r="GP20" s="65"/>
      <c r="GR20" s="65"/>
      <c r="GS20" s="65"/>
      <c r="GT20" s="65"/>
      <c r="GU20" s="65"/>
      <c r="GV20" s="65"/>
      <c r="GW20" s="65"/>
      <c r="GY20" s="65"/>
      <c r="GZ20" s="65"/>
      <c r="HA20" s="65"/>
      <c r="HB20" s="65"/>
      <c r="HC20" s="65"/>
      <c r="HD20" s="65"/>
      <c r="HF20" s="65"/>
      <c r="HG20" s="65"/>
      <c r="HH20" s="65"/>
      <c r="HI20" s="65"/>
      <c r="HJ20" s="65"/>
      <c r="HK20" s="65"/>
    </row>
    <row r="21" spans="1:219" ht="15.75" x14ac:dyDescent="0.25">
      <c r="A21" s="34">
        <f>'TEACHERS DETAILS'!A21</f>
        <v>20</v>
      </c>
      <c r="B21" s="34">
        <f>'TEACHERS DETAILS'!B21</f>
        <v>0</v>
      </c>
      <c r="C21" s="34">
        <f>'TEACHERS DETAILS'!E21</f>
        <v>0</v>
      </c>
      <c r="D21" s="34">
        <f>'TEACHERS DETAILS'!L21</f>
        <v>0</v>
      </c>
      <c r="E21" s="34">
        <f>'TEACHERS DETAILS'!J21</f>
        <v>0</v>
      </c>
      <c r="F21" s="34">
        <f>'TEACHERS DETAILS'!U21</f>
        <v>0</v>
      </c>
      <c r="G21" s="34">
        <f>'TEACHERS DETAILS'!C21</f>
        <v>0</v>
      </c>
      <c r="H21" s="35"/>
      <c r="R21" s="63"/>
      <c r="S21" s="63"/>
      <c r="T21" s="63"/>
      <c r="U21" s="63"/>
      <c r="V21" s="63"/>
      <c r="W21" s="63"/>
      <c r="Y21" s="65"/>
      <c r="Z21" s="65"/>
      <c r="AA21" s="65"/>
      <c r="AB21" s="65"/>
      <c r="AC21" s="65"/>
      <c r="AD21" s="65"/>
      <c r="AF21" s="65"/>
      <c r="AG21" s="65"/>
      <c r="AH21" s="65"/>
      <c r="AI21" s="65"/>
      <c r="AJ21" s="65"/>
      <c r="AK21" s="65"/>
      <c r="AM21" s="65"/>
      <c r="AN21" s="65"/>
      <c r="AO21" s="65"/>
      <c r="AP21" s="65"/>
      <c r="AQ21" s="65"/>
      <c r="AR21" s="65"/>
      <c r="AT21" s="65"/>
      <c r="AU21" s="65"/>
      <c r="AV21" s="65"/>
      <c r="AW21" s="65"/>
      <c r="AX21" s="65"/>
      <c r="AY21" s="65"/>
      <c r="BA21" s="65"/>
      <c r="BB21" s="65"/>
      <c r="BC21" s="65"/>
      <c r="BD21" s="65"/>
      <c r="BE21" s="65"/>
      <c r="BF21" s="65"/>
      <c r="BH21" s="65"/>
      <c r="BI21" s="65"/>
      <c r="BJ21" s="65"/>
      <c r="BK21" s="65"/>
      <c r="BL21" s="65"/>
      <c r="BM21" s="65"/>
      <c r="BO21" s="65"/>
      <c r="BP21" s="65"/>
      <c r="BQ21" s="65"/>
      <c r="BR21" s="65"/>
      <c r="BS21" s="65"/>
      <c r="BT21" s="65"/>
      <c r="BV21" s="65"/>
      <c r="BW21" s="65"/>
      <c r="BX21" s="65"/>
      <c r="BY21" s="65"/>
      <c r="BZ21" s="65"/>
      <c r="CA21" s="65"/>
      <c r="CC21" s="65"/>
      <c r="CD21" s="65"/>
      <c r="CE21" s="65"/>
      <c r="CF21" s="65"/>
      <c r="CG21" s="65"/>
      <c r="CH21" s="65"/>
      <c r="CJ21" s="65"/>
      <c r="CK21" s="65"/>
      <c r="CL21" s="65"/>
      <c r="CM21" s="65"/>
      <c r="CN21" s="65"/>
      <c r="CO21" s="65"/>
      <c r="CQ21" s="65"/>
      <c r="CR21" s="65"/>
      <c r="CS21" s="65"/>
      <c r="CT21" s="65"/>
      <c r="CU21" s="65"/>
      <c r="CV21" s="65"/>
      <c r="CX21" s="65"/>
      <c r="CY21" s="65"/>
      <c r="CZ21" s="65"/>
      <c r="DA21" s="65"/>
      <c r="DB21" s="65"/>
      <c r="DC21" s="65"/>
      <c r="DE21" s="65"/>
      <c r="DF21" s="65"/>
      <c r="DG21" s="65"/>
      <c r="DH21" s="65"/>
      <c r="DI21" s="65"/>
      <c r="DJ21" s="65"/>
      <c r="DL21" s="65"/>
      <c r="DM21" s="65"/>
      <c r="DN21" s="65"/>
      <c r="DO21" s="65"/>
      <c r="DP21" s="65"/>
      <c r="DQ21" s="65"/>
      <c r="DS21" s="64"/>
      <c r="DT21" s="64"/>
      <c r="DU21" s="64"/>
      <c r="DV21" s="64"/>
      <c r="DW21" s="64"/>
      <c r="DX21" s="64"/>
      <c r="DZ21" s="64"/>
      <c r="EA21" s="64"/>
      <c r="EB21" s="64"/>
      <c r="EC21" s="64"/>
      <c r="ED21" s="64"/>
      <c r="EE21" s="64"/>
      <c r="EG21" s="65"/>
      <c r="EH21" s="65"/>
      <c r="EI21" s="65"/>
      <c r="EJ21" s="65"/>
      <c r="EK21" s="65"/>
      <c r="EL21" s="65"/>
      <c r="EN21" s="65"/>
      <c r="EO21" s="65"/>
      <c r="EP21" s="65"/>
      <c r="EQ21" s="65"/>
      <c r="ER21" s="65"/>
      <c r="ES21" s="65"/>
      <c r="EU21" s="65"/>
      <c r="EV21" s="65"/>
      <c r="EW21" s="65"/>
      <c r="EX21" s="65"/>
      <c r="EY21" s="65"/>
      <c r="EZ21" s="65"/>
      <c r="FB21" s="65"/>
      <c r="FC21" s="65"/>
      <c r="FD21" s="65"/>
      <c r="FE21" s="65"/>
      <c r="FF21" s="65"/>
      <c r="FG21" s="65"/>
      <c r="FI21" s="65"/>
      <c r="FJ21" s="65"/>
      <c r="FK21" s="65"/>
      <c r="FL21" s="65"/>
      <c r="FM21" s="65"/>
      <c r="FN21" s="65"/>
      <c r="FP21" s="65"/>
      <c r="FQ21" s="65"/>
      <c r="FR21" s="65"/>
      <c r="FS21" s="65"/>
      <c r="FT21" s="65"/>
      <c r="FU21" s="65"/>
      <c r="FW21" s="65"/>
      <c r="FX21" s="65"/>
      <c r="FY21" s="65"/>
      <c r="FZ21" s="65"/>
      <c r="GA21" s="65"/>
      <c r="GB21" s="65"/>
      <c r="GD21" s="65"/>
      <c r="GE21" s="65"/>
      <c r="GF21" s="65"/>
      <c r="GG21" s="65"/>
      <c r="GH21" s="65"/>
      <c r="GI21" s="65"/>
      <c r="GK21" s="65"/>
      <c r="GL21" s="65"/>
      <c r="GM21" s="65"/>
      <c r="GN21" s="65"/>
      <c r="GO21" s="65"/>
      <c r="GP21" s="65"/>
      <c r="GR21" s="65"/>
      <c r="GS21" s="65"/>
      <c r="GT21" s="65"/>
      <c r="GU21" s="65"/>
      <c r="GV21" s="65"/>
      <c r="GW21" s="65"/>
      <c r="GY21" s="65"/>
      <c r="GZ21" s="65"/>
      <c r="HA21" s="65"/>
      <c r="HB21" s="65"/>
      <c r="HC21" s="65"/>
      <c r="HD21" s="65"/>
      <c r="HF21" s="65"/>
      <c r="HG21" s="65"/>
      <c r="HH21" s="65"/>
      <c r="HI21" s="65"/>
      <c r="HJ21" s="65"/>
      <c r="HK21" s="65"/>
    </row>
    <row r="22" spans="1:219" ht="15.75" x14ac:dyDescent="0.25">
      <c r="A22" s="34">
        <f>'TEACHERS DETAILS'!A22</f>
        <v>21</v>
      </c>
      <c r="B22" s="34">
        <f>'TEACHERS DETAILS'!B22</f>
        <v>0</v>
      </c>
      <c r="C22" s="34">
        <f>'TEACHERS DETAILS'!E22</f>
        <v>0</v>
      </c>
      <c r="D22" s="34">
        <f>'TEACHERS DETAILS'!L22</f>
        <v>0</v>
      </c>
      <c r="E22" s="34">
        <f>'TEACHERS DETAILS'!J22</f>
        <v>0</v>
      </c>
      <c r="F22" s="34">
        <f>'TEACHERS DETAILS'!U22</f>
        <v>0</v>
      </c>
      <c r="G22" s="34">
        <f>'TEACHERS DETAILS'!C22</f>
        <v>0</v>
      </c>
      <c r="H22" s="35"/>
      <c r="R22" s="63"/>
      <c r="S22" s="63"/>
      <c r="T22" s="63"/>
      <c r="U22" s="63"/>
      <c r="V22" s="63"/>
      <c r="W22" s="63"/>
      <c r="Y22" s="65"/>
      <c r="Z22" s="65"/>
      <c r="AA22" s="65"/>
      <c r="AB22" s="65"/>
      <c r="AC22" s="65"/>
      <c r="AD22" s="65"/>
      <c r="AF22" s="65"/>
      <c r="AG22" s="65"/>
      <c r="AH22" s="65"/>
      <c r="AI22" s="65"/>
      <c r="AJ22" s="65"/>
      <c r="AK22" s="65"/>
      <c r="AM22" s="65"/>
      <c r="AN22" s="65"/>
      <c r="AO22" s="65"/>
      <c r="AP22" s="65"/>
      <c r="AQ22" s="65"/>
      <c r="AR22" s="65"/>
      <c r="AT22" s="65"/>
      <c r="AU22" s="65"/>
      <c r="AV22" s="65"/>
      <c r="AW22" s="65"/>
      <c r="AX22" s="65"/>
      <c r="AY22" s="65"/>
      <c r="BA22" s="65"/>
      <c r="BB22" s="65"/>
      <c r="BC22" s="65"/>
      <c r="BD22" s="65"/>
      <c r="BE22" s="65"/>
      <c r="BF22" s="65"/>
      <c r="BH22" s="65"/>
      <c r="BI22" s="65"/>
      <c r="BJ22" s="65"/>
      <c r="BK22" s="65"/>
      <c r="BL22" s="65"/>
      <c r="BM22" s="65"/>
      <c r="BO22" s="65"/>
      <c r="BP22" s="65"/>
      <c r="BQ22" s="65"/>
      <c r="BR22" s="65"/>
      <c r="BS22" s="65"/>
      <c r="BT22" s="65"/>
      <c r="BV22" s="65"/>
      <c r="BW22" s="65"/>
      <c r="BX22" s="65"/>
      <c r="BY22" s="65"/>
      <c r="BZ22" s="65"/>
      <c r="CA22" s="65"/>
      <c r="CC22" s="65"/>
      <c r="CD22" s="65"/>
      <c r="CE22" s="65"/>
      <c r="CF22" s="65"/>
      <c r="CG22" s="65"/>
      <c r="CH22" s="65"/>
      <c r="CJ22" s="65"/>
      <c r="CK22" s="65"/>
      <c r="CL22" s="65"/>
      <c r="CM22" s="65"/>
      <c r="CN22" s="65"/>
      <c r="CO22" s="65"/>
      <c r="CQ22" s="65"/>
      <c r="CR22" s="65"/>
      <c r="CS22" s="65"/>
      <c r="CT22" s="65"/>
      <c r="CU22" s="65"/>
      <c r="CV22" s="65"/>
      <c r="CX22" s="65"/>
      <c r="CY22" s="65"/>
      <c r="CZ22" s="65"/>
      <c r="DA22" s="65"/>
      <c r="DB22" s="65"/>
      <c r="DC22" s="65"/>
      <c r="DE22" s="65"/>
      <c r="DF22" s="65"/>
      <c r="DG22" s="65"/>
      <c r="DH22" s="65"/>
      <c r="DI22" s="65"/>
      <c r="DJ22" s="65"/>
      <c r="DL22" s="65"/>
      <c r="DM22" s="65"/>
      <c r="DN22" s="65"/>
      <c r="DO22" s="65"/>
      <c r="DP22" s="65"/>
      <c r="DQ22" s="65"/>
      <c r="DS22" s="64"/>
      <c r="DT22" s="64"/>
      <c r="DU22" s="64"/>
      <c r="DV22" s="64"/>
      <c r="DW22" s="64"/>
      <c r="DX22" s="64"/>
      <c r="DZ22" s="64"/>
      <c r="EA22" s="64"/>
      <c r="EB22" s="64"/>
      <c r="EC22" s="64"/>
      <c r="ED22" s="64"/>
      <c r="EE22" s="64"/>
      <c r="EG22" s="65"/>
      <c r="EH22" s="65"/>
      <c r="EI22" s="65"/>
      <c r="EJ22" s="65"/>
      <c r="EK22" s="65"/>
      <c r="EL22" s="65"/>
      <c r="EN22" s="65"/>
      <c r="EO22" s="65"/>
      <c r="EP22" s="65"/>
      <c r="EQ22" s="65"/>
      <c r="ER22" s="65"/>
      <c r="ES22" s="65"/>
      <c r="EU22" s="65"/>
      <c r="EV22" s="65"/>
      <c r="EW22" s="65"/>
      <c r="EX22" s="65"/>
      <c r="EY22" s="65"/>
      <c r="EZ22" s="65"/>
      <c r="FB22" s="65"/>
      <c r="FC22" s="65"/>
      <c r="FD22" s="65"/>
      <c r="FE22" s="65"/>
      <c r="FF22" s="65"/>
      <c r="FG22" s="65"/>
      <c r="FI22" s="65"/>
      <c r="FJ22" s="65"/>
      <c r="FK22" s="65"/>
      <c r="FL22" s="65"/>
      <c r="FM22" s="65"/>
      <c r="FN22" s="65"/>
      <c r="FP22" s="65"/>
      <c r="FQ22" s="65"/>
      <c r="FR22" s="65"/>
      <c r="FS22" s="65"/>
      <c r="FT22" s="65"/>
      <c r="FU22" s="65"/>
      <c r="FW22" s="65"/>
      <c r="FX22" s="65"/>
      <c r="FY22" s="65"/>
      <c r="FZ22" s="65"/>
      <c r="GA22" s="65"/>
      <c r="GB22" s="65"/>
      <c r="GD22" s="65"/>
      <c r="GE22" s="65"/>
      <c r="GF22" s="65"/>
      <c r="GG22" s="65"/>
      <c r="GH22" s="65"/>
      <c r="GI22" s="65"/>
      <c r="GK22" s="65"/>
      <c r="GL22" s="65"/>
      <c r="GM22" s="65"/>
      <c r="GN22" s="65"/>
      <c r="GO22" s="65"/>
      <c r="GP22" s="65"/>
      <c r="GR22" s="65"/>
      <c r="GS22" s="65"/>
      <c r="GT22" s="65"/>
      <c r="GU22" s="65"/>
      <c r="GV22" s="65"/>
      <c r="GW22" s="65"/>
      <c r="GY22" s="65"/>
      <c r="GZ22" s="65"/>
      <c r="HA22" s="65"/>
      <c r="HB22" s="65"/>
      <c r="HC22" s="65"/>
      <c r="HD22" s="65"/>
      <c r="HF22" s="65"/>
      <c r="HG22" s="65"/>
      <c r="HH22" s="65"/>
      <c r="HI22" s="65"/>
      <c r="HJ22" s="65"/>
      <c r="HK22" s="65"/>
    </row>
    <row r="23" spans="1:219" ht="15.75" x14ac:dyDescent="0.25">
      <c r="A23" s="34">
        <f>'TEACHERS DETAILS'!A23</f>
        <v>22</v>
      </c>
      <c r="B23" s="34">
        <f>'TEACHERS DETAILS'!B23</f>
        <v>0</v>
      </c>
      <c r="C23" s="34">
        <f>'TEACHERS DETAILS'!E23</f>
        <v>0</v>
      </c>
      <c r="D23" s="34">
        <f>'TEACHERS DETAILS'!L23</f>
        <v>0</v>
      </c>
      <c r="E23" s="34">
        <f>'TEACHERS DETAILS'!J23</f>
        <v>0</v>
      </c>
      <c r="F23" s="34">
        <f>'TEACHERS DETAILS'!U23</f>
        <v>0</v>
      </c>
      <c r="G23" s="34">
        <f>'TEACHERS DETAILS'!C23</f>
        <v>0</v>
      </c>
      <c r="H23" s="35"/>
      <c r="R23" s="63"/>
      <c r="S23" s="63"/>
      <c r="T23" s="63"/>
      <c r="U23" s="63"/>
      <c r="V23" s="63"/>
      <c r="W23" s="63"/>
      <c r="Y23" s="65"/>
      <c r="Z23" s="65"/>
      <c r="AA23" s="65"/>
      <c r="AB23" s="65"/>
      <c r="AC23" s="65"/>
      <c r="AD23" s="65"/>
      <c r="AF23" s="65"/>
      <c r="AG23" s="65"/>
      <c r="AH23" s="65"/>
      <c r="AI23" s="65"/>
      <c r="AJ23" s="65"/>
      <c r="AK23" s="65"/>
      <c r="AM23" s="65"/>
      <c r="AN23" s="65"/>
      <c r="AO23" s="65"/>
      <c r="AP23" s="65"/>
      <c r="AQ23" s="65"/>
      <c r="AR23" s="65"/>
      <c r="AT23" s="65"/>
      <c r="AU23" s="65"/>
      <c r="AV23" s="65"/>
      <c r="AW23" s="65"/>
      <c r="AX23" s="65"/>
      <c r="AY23" s="65"/>
      <c r="BA23" s="65"/>
      <c r="BB23" s="65"/>
      <c r="BC23" s="65"/>
      <c r="BD23" s="65"/>
      <c r="BE23" s="65"/>
      <c r="BF23" s="65"/>
      <c r="BH23" s="65"/>
      <c r="BI23" s="65"/>
      <c r="BJ23" s="65"/>
      <c r="BK23" s="65"/>
      <c r="BL23" s="65"/>
      <c r="BM23" s="65"/>
      <c r="BO23" s="65"/>
      <c r="BP23" s="65"/>
      <c r="BQ23" s="65"/>
      <c r="BR23" s="65"/>
      <c r="BS23" s="65"/>
      <c r="BT23" s="65"/>
      <c r="BV23" s="65"/>
      <c r="BW23" s="65"/>
      <c r="BX23" s="65"/>
      <c r="BY23" s="65"/>
      <c r="BZ23" s="65"/>
      <c r="CA23" s="65"/>
      <c r="CC23" s="65"/>
      <c r="CD23" s="65"/>
      <c r="CE23" s="65"/>
      <c r="CF23" s="65"/>
      <c r="CG23" s="65"/>
      <c r="CH23" s="65"/>
      <c r="CJ23" s="65"/>
      <c r="CK23" s="65"/>
      <c r="CL23" s="65"/>
      <c r="CM23" s="65"/>
      <c r="CN23" s="65"/>
      <c r="CO23" s="65"/>
      <c r="CQ23" s="65"/>
      <c r="CR23" s="65"/>
      <c r="CS23" s="65"/>
      <c r="CT23" s="65"/>
      <c r="CU23" s="65"/>
      <c r="CV23" s="65"/>
      <c r="CX23" s="65"/>
      <c r="CY23" s="65"/>
      <c r="CZ23" s="65"/>
      <c r="DA23" s="65"/>
      <c r="DB23" s="65"/>
      <c r="DC23" s="65"/>
      <c r="DE23" s="65"/>
      <c r="DF23" s="65"/>
      <c r="DG23" s="65"/>
      <c r="DH23" s="65"/>
      <c r="DI23" s="65"/>
      <c r="DJ23" s="65"/>
      <c r="DL23" s="65"/>
      <c r="DM23" s="65"/>
      <c r="DN23" s="65"/>
      <c r="DO23" s="65"/>
      <c r="DP23" s="65"/>
      <c r="DQ23" s="65"/>
      <c r="DS23" s="64"/>
      <c r="DT23" s="64"/>
      <c r="DU23" s="64"/>
      <c r="DV23" s="64"/>
      <c r="DW23" s="64"/>
      <c r="DX23" s="64"/>
      <c r="DZ23" s="64"/>
      <c r="EA23" s="64"/>
      <c r="EB23" s="64"/>
      <c r="EC23" s="64"/>
      <c r="ED23" s="64"/>
      <c r="EE23" s="64"/>
      <c r="EG23" s="65"/>
      <c r="EH23" s="65"/>
      <c r="EI23" s="65"/>
      <c r="EJ23" s="65"/>
      <c r="EK23" s="65"/>
      <c r="EL23" s="65"/>
      <c r="EN23" s="65"/>
      <c r="EO23" s="65"/>
      <c r="EP23" s="65"/>
      <c r="EQ23" s="65"/>
      <c r="ER23" s="65"/>
      <c r="ES23" s="65"/>
      <c r="EU23" s="65"/>
      <c r="EV23" s="65"/>
      <c r="EW23" s="65"/>
      <c r="EX23" s="65"/>
      <c r="EY23" s="65"/>
      <c r="EZ23" s="65"/>
      <c r="FB23" s="65"/>
      <c r="FC23" s="65"/>
      <c r="FD23" s="65"/>
      <c r="FE23" s="65"/>
      <c r="FF23" s="65"/>
      <c r="FG23" s="65"/>
      <c r="FI23" s="65"/>
      <c r="FJ23" s="65"/>
      <c r="FK23" s="65"/>
      <c r="FL23" s="65"/>
      <c r="FM23" s="65"/>
      <c r="FN23" s="65"/>
      <c r="FP23" s="65"/>
      <c r="FQ23" s="65"/>
      <c r="FR23" s="65"/>
      <c r="FS23" s="65"/>
      <c r="FT23" s="65"/>
      <c r="FU23" s="65"/>
      <c r="FW23" s="65"/>
      <c r="FX23" s="65"/>
      <c r="FY23" s="65"/>
      <c r="FZ23" s="65"/>
      <c r="GA23" s="65"/>
      <c r="GB23" s="65"/>
      <c r="GD23" s="65"/>
      <c r="GE23" s="65"/>
      <c r="GF23" s="65"/>
      <c r="GG23" s="65"/>
      <c r="GH23" s="65"/>
      <c r="GI23" s="65"/>
      <c r="GK23" s="65"/>
      <c r="GL23" s="65"/>
      <c r="GM23" s="65"/>
      <c r="GN23" s="65"/>
      <c r="GO23" s="65"/>
      <c r="GP23" s="65"/>
      <c r="GR23" s="65"/>
      <c r="GS23" s="65"/>
      <c r="GT23" s="65"/>
      <c r="GU23" s="65"/>
      <c r="GV23" s="65"/>
      <c r="GW23" s="65"/>
      <c r="GY23" s="65"/>
      <c r="GZ23" s="65"/>
      <c r="HA23" s="65"/>
      <c r="HB23" s="65"/>
      <c r="HC23" s="65"/>
      <c r="HD23" s="65"/>
      <c r="HF23" s="65"/>
      <c r="HG23" s="65"/>
      <c r="HH23" s="65"/>
      <c r="HI23" s="65"/>
      <c r="HJ23" s="65"/>
      <c r="HK23" s="65"/>
    </row>
    <row r="24" spans="1:219" ht="15.75" x14ac:dyDescent="0.25">
      <c r="A24" s="34">
        <f>'TEACHERS DETAILS'!A24</f>
        <v>23</v>
      </c>
      <c r="B24" s="34">
        <f>'TEACHERS DETAILS'!B24</f>
        <v>0</v>
      </c>
      <c r="C24" s="34">
        <f>'TEACHERS DETAILS'!E24</f>
        <v>0</v>
      </c>
      <c r="D24" s="34">
        <f>'TEACHERS DETAILS'!L24</f>
        <v>0</v>
      </c>
      <c r="E24" s="34">
        <f>'TEACHERS DETAILS'!J24</f>
        <v>0</v>
      </c>
      <c r="F24" s="34">
        <f>'TEACHERS DETAILS'!U24</f>
        <v>0</v>
      </c>
      <c r="G24" s="34">
        <f>'TEACHERS DETAILS'!C24</f>
        <v>0</v>
      </c>
      <c r="H24" s="35"/>
      <c r="R24" s="63"/>
      <c r="S24" s="63"/>
      <c r="T24" s="63"/>
      <c r="U24" s="63"/>
      <c r="V24" s="63"/>
      <c r="W24" s="63"/>
      <c r="Y24" s="65"/>
      <c r="Z24" s="65"/>
      <c r="AA24" s="65"/>
      <c r="AB24" s="65"/>
      <c r="AC24" s="65"/>
      <c r="AD24" s="65"/>
      <c r="AF24" s="65"/>
      <c r="AG24" s="65"/>
      <c r="AH24" s="65"/>
      <c r="AI24" s="65"/>
      <c r="AJ24" s="65"/>
      <c r="AK24" s="65"/>
      <c r="AM24" s="65"/>
      <c r="AN24" s="65"/>
      <c r="AO24" s="65"/>
      <c r="AP24" s="65"/>
      <c r="AQ24" s="65"/>
      <c r="AR24" s="65"/>
      <c r="AT24" s="65"/>
      <c r="AU24" s="65"/>
      <c r="AV24" s="65"/>
      <c r="AW24" s="65"/>
      <c r="AX24" s="65"/>
      <c r="AY24" s="65"/>
      <c r="BA24" s="65"/>
      <c r="BB24" s="65"/>
      <c r="BC24" s="65"/>
      <c r="BD24" s="65"/>
      <c r="BE24" s="65"/>
      <c r="BF24" s="65"/>
      <c r="BH24" s="65"/>
      <c r="BI24" s="65"/>
      <c r="BJ24" s="65"/>
      <c r="BK24" s="65"/>
      <c r="BL24" s="65"/>
      <c r="BM24" s="65"/>
      <c r="BO24" s="65"/>
      <c r="BP24" s="65"/>
      <c r="BQ24" s="65"/>
      <c r="BR24" s="65"/>
      <c r="BS24" s="65"/>
      <c r="BT24" s="65"/>
      <c r="BV24" s="65"/>
      <c r="BW24" s="65"/>
      <c r="BX24" s="65"/>
      <c r="BY24" s="65"/>
      <c r="BZ24" s="65"/>
      <c r="CA24" s="65"/>
      <c r="CC24" s="65"/>
      <c r="CD24" s="65"/>
      <c r="CE24" s="65"/>
      <c r="CF24" s="65"/>
      <c r="CG24" s="65"/>
      <c r="CH24" s="65"/>
      <c r="CJ24" s="65"/>
      <c r="CK24" s="65"/>
      <c r="CL24" s="65"/>
      <c r="CM24" s="65"/>
      <c r="CN24" s="65"/>
      <c r="CO24" s="65"/>
      <c r="CQ24" s="65"/>
      <c r="CR24" s="65"/>
      <c r="CS24" s="65"/>
      <c r="CT24" s="65"/>
      <c r="CU24" s="65"/>
      <c r="CV24" s="65"/>
      <c r="CX24" s="65"/>
      <c r="CY24" s="65"/>
      <c r="CZ24" s="65"/>
      <c r="DA24" s="65"/>
      <c r="DB24" s="65"/>
      <c r="DC24" s="65"/>
      <c r="DE24" s="65"/>
      <c r="DF24" s="65"/>
      <c r="DG24" s="65"/>
      <c r="DH24" s="65"/>
      <c r="DI24" s="65"/>
      <c r="DJ24" s="65"/>
      <c r="DL24" s="65"/>
      <c r="DM24" s="65"/>
      <c r="DN24" s="65"/>
      <c r="DO24" s="65"/>
      <c r="DP24" s="65"/>
      <c r="DQ24" s="65"/>
      <c r="DS24" s="64"/>
      <c r="DT24" s="64"/>
      <c r="DU24" s="64"/>
      <c r="DV24" s="64"/>
      <c r="DW24" s="64"/>
      <c r="DX24" s="64"/>
      <c r="DZ24" s="64"/>
      <c r="EA24" s="64"/>
      <c r="EB24" s="64"/>
      <c r="EC24" s="64"/>
      <c r="ED24" s="64"/>
      <c r="EE24" s="64"/>
      <c r="EG24" s="65"/>
      <c r="EH24" s="65"/>
      <c r="EI24" s="65"/>
      <c r="EJ24" s="65"/>
      <c r="EK24" s="65"/>
      <c r="EL24" s="65"/>
      <c r="EN24" s="65"/>
      <c r="EO24" s="65"/>
      <c r="EP24" s="65"/>
      <c r="EQ24" s="65"/>
      <c r="ER24" s="65"/>
      <c r="ES24" s="65"/>
      <c r="EU24" s="65"/>
      <c r="EV24" s="65"/>
      <c r="EW24" s="65"/>
      <c r="EX24" s="65"/>
      <c r="EY24" s="65"/>
      <c r="EZ24" s="65"/>
      <c r="FB24" s="65"/>
      <c r="FC24" s="65"/>
      <c r="FD24" s="65"/>
      <c r="FE24" s="65"/>
      <c r="FF24" s="65"/>
      <c r="FG24" s="65"/>
      <c r="FI24" s="65"/>
      <c r="FJ24" s="65"/>
      <c r="FK24" s="65"/>
      <c r="FL24" s="65"/>
      <c r="FM24" s="65"/>
      <c r="FN24" s="65"/>
      <c r="FP24" s="65"/>
      <c r="FQ24" s="65"/>
      <c r="FR24" s="65"/>
      <c r="FS24" s="65"/>
      <c r="FT24" s="65"/>
      <c r="FU24" s="65"/>
      <c r="FW24" s="65"/>
      <c r="FX24" s="65"/>
      <c r="FY24" s="65"/>
      <c r="FZ24" s="65"/>
      <c r="GA24" s="65"/>
      <c r="GB24" s="65"/>
      <c r="GD24" s="65"/>
      <c r="GE24" s="65"/>
      <c r="GF24" s="65"/>
      <c r="GG24" s="65"/>
      <c r="GH24" s="65"/>
      <c r="GI24" s="65"/>
      <c r="GK24" s="65"/>
      <c r="GL24" s="65"/>
      <c r="GM24" s="65"/>
      <c r="GN24" s="65"/>
      <c r="GO24" s="65"/>
      <c r="GP24" s="65"/>
      <c r="GR24" s="65"/>
      <c r="GS24" s="65"/>
      <c r="GT24" s="65"/>
      <c r="GU24" s="65"/>
      <c r="GV24" s="65"/>
      <c r="GW24" s="65"/>
      <c r="GY24" s="65"/>
      <c r="GZ24" s="65"/>
      <c r="HA24" s="65"/>
      <c r="HB24" s="65"/>
      <c r="HC24" s="65"/>
      <c r="HD24" s="65"/>
      <c r="HF24" s="65"/>
      <c r="HG24" s="65"/>
      <c r="HH24" s="65"/>
      <c r="HI24" s="65"/>
      <c r="HJ24" s="65"/>
      <c r="HK24" s="65"/>
    </row>
    <row r="25" spans="1:219" ht="15.75" x14ac:dyDescent="0.25">
      <c r="A25" s="34">
        <f>'TEACHERS DETAILS'!A25</f>
        <v>24</v>
      </c>
      <c r="B25" s="34">
        <f>'TEACHERS DETAILS'!B25</f>
        <v>0</v>
      </c>
      <c r="C25" s="34">
        <f>'TEACHERS DETAILS'!E25</f>
        <v>0</v>
      </c>
      <c r="D25" s="34">
        <f>'TEACHERS DETAILS'!L25</f>
        <v>0</v>
      </c>
      <c r="E25" s="34">
        <f>'TEACHERS DETAILS'!J25</f>
        <v>0</v>
      </c>
      <c r="F25" s="34">
        <f>'TEACHERS DETAILS'!U25</f>
        <v>0</v>
      </c>
      <c r="G25" s="34">
        <f>'TEACHERS DETAILS'!C25</f>
        <v>0</v>
      </c>
      <c r="H25" s="35"/>
      <c r="R25" s="63"/>
      <c r="S25" s="63"/>
      <c r="T25" s="63"/>
      <c r="U25" s="63"/>
      <c r="V25" s="63"/>
      <c r="W25" s="63"/>
      <c r="Y25" s="65"/>
      <c r="Z25" s="65"/>
      <c r="AA25" s="65"/>
      <c r="AB25" s="65"/>
      <c r="AC25" s="65"/>
      <c r="AD25" s="65"/>
      <c r="AF25" s="65"/>
      <c r="AG25" s="65"/>
      <c r="AH25" s="65"/>
      <c r="AI25" s="65"/>
      <c r="AJ25" s="65"/>
      <c r="AK25" s="65"/>
      <c r="AM25" s="65"/>
      <c r="AN25" s="65"/>
      <c r="AO25" s="65"/>
      <c r="AP25" s="65"/>
      <c r="AQ25" s="65"/>
      <c r="AR25" s="65"/>
      <c r="AT25" s="65"/>
      <c r="AU25" s="65"/>
      <c r="AV25" s="65"/>
      <c r="AW25" s="65"/>
      <c r="AX25" s="65"/>
      <c r="AY25" s="65"/>
      <c r="BA25" s="65"/>
      <c r="BB25" s="65"/>
      <c r="BC25" s="65"/>
      <c r="BD25" s="65"/>
      <c r="BE25" s="65"/>
      <c r="BF25" s="65"/>
      <c r="BH25" s="65"/>
      <c r="BI25" s="65"/>
      <c r="BJ25" s="65"/>
      <c r="BK25" s="65"/>
      <c r="BL25" s="65"/>
      <c r="BM25" s="65"/>
      <c r="BO25" s="65"/>
      <c r="BP25" s="65"/>
      <c r="BQ25" s="65"/>
      <c r="BR25" s="65"/>
      <c r="BS25" s="65"/>
      <c r="BT25" s="65"/>
      <c r="BV25" s="65"/>
      <c r="BW25" s="65"/>
      <c r="BX25" s="65"/>
      <c r="BY25" s="65"/>
      <c r="BZ25" s="65"/>
      <c r="CA25" s="65"/>
      <c r="CC25" s="65"/>
      <c r="CD25" s="65"/>
      <c r="CE25" s="65"/>
      <c r="CF25" s="65"/>
      <c r="CG25" s="65"/>
      <c r="CH25" s="65"/>
      <c r="CJ25" s="65"/>
      <c r="CK25" s="65"/>
      <c r="CL25" s="65"/>
      <c r="CM25" s="65"/>
      <c r="CN25" s="65"/>
      <c r="CO25" s="65"/>
      <c r="CQ25" s="65"/>
      <c r="CR25" s="65"/>
      <c r="CS25" s="65"/>
      <c r="CT25" s="65"/>
      <c r="CU25" s="65"/>
      <c r="CV25" s="65"/>
      <c r="CX25" s="65"/>
      <c r="CY25" s="65"/>
      <c r="CZ25" s="65"/>
      <c r="DA25" s="65"/>
      <c r="DB25" s="65"/>
      <c r="DC25" s="65"/>
      <c r="DE25" s="65"/>
      <c r="DF25" s="65"/>
      <c r="DG25" s="65"/>
      <c r="DH25" s="65"/>
      <c r="DI25" s="65"/>
      <c r="DJ25" s="65"/>
      <c r="DL25" s="65"/>
      <c r="DM25" s="65"/>
      <c r="DN25" s="65"/>
      <c r="DO25" s="65"/>
      <c r="DP25" s="65"/>
      <c r="DQ25" s="65"/>
      <c r="DS25" s="64"/>
      <c r="DT25" s="64"/>
      <c r="DU25" s="64"/>
      <c r="DV25" s="64"/>
      <c r="DW25" s="64"/>
      <c r="DX25" s="64"/>
      <c r="DZ25" s="64"/>
      <c r="EA25" s="64"/>
      <c r="EB25" s="64"/>
      <c r="EC25" s="64"/>
      <c r="ED25" s="64"/>
      <c r="EE25" s="64"/>
      <c r="EG25" s="65"/>
      <c r="EH25" s="65"/>
      <c r="EI25" s="65"/>
      <c r="EJ25" s="65"/>
      <c r="EK25" s="65"/>
      <c r="EL25" s="65"/>
      <c r="EN25" s="65"/>
      <c r="EO25" s="65"/>
      <c r="EP25" s="65"/>
      <c r="EQ25" s="65"/>
      <c r="ER25" s="65"/>
      <c r="ES25" s="65"/>
      <c r="EU25" s="65"/>
      <c r="EV25" s="65"/>
      <c r="EW25" s="65"/>
      <c r="EX25" s="65"/>
      <c r="EY25" s="65"/>
      <c r="EZ25" s="65"/>
      <c r="FB25" s="65"/>
      <c r="FC25" s="65"/>
      <c r="FD25" s="65"/>
      <c r="FE25" s="65"/>
      <c r="FF25" s="65"/>
      <c r="FG25" s="65"/>
      <c r="FI25" s="65"/>
      <c r="FJ25" s="65"/>
      <c r="FK25" s="65"/>
      <c r="FL25" s="65"/>
      <c r="FM25" s="65"/>
      <c r="FN25" s="65"/>
      <c r="FP25" s="65"/>
      <c r="FQ25" s="65"/>
      <c r="FR25" s="65"/>
      <c r="FS25" s="65"/>
      <c r="FT25" s="65"/>
      <c r="FU25" s="65"/>
      <c r="FW25" s="65"/>
      <c r="FX25" s="65"/>
      <c r="FY25" s="65"/>
      <c r="FZ25" s="65"/>
      <c r="GA25" s="65"/>
      <c r="GB25" s="65"/>
      <c r="GD25" s="65"/>
      <c r="GE25" s="65"/>
      <c r="GF25" s="65"/>
      <c r="GG25" s="65"/>
      <c r="GH25" s="65"/>
      <c r="GI25" s="65"/>
      <c r="GK25" s="65"/>
      <c r="GL25" s="65"/>
      <c r="GM25" s="65"/>
      <c r="GN25" s="65"/>
      <c r="GO25" s="65"/>
      <c r="GP25" s="65"/>
      <c r="GR25" s="65"/>
      <c r="GS25" s="65"/>
      <c r="GT25" s="65"/>
      <c r="GU25" s="65"/>
      <c r="GV25" s="65"/>
      <c r="GW25" s="65"/>
      <c r="GY25" s="65"/>
      <c r="GZ25" s="65"/>
      <c r="HA25" s="65"/>
      <c r="HB25" s="65"/>
      <c r="HC25" s="65"/>
      <c r="HD25" s="65"/>
      <c r="HF25" s="65"/>
      <c r="HG25" s="65"/>
      <c r="HH25" s="65"/>
      <c r="HI25" s="65"/>
      <c r="HJ25" s="65"/>
      <c r="HK25" s="65"/>
    </row>
    <row r="26" spans="1:219" ht="15.75" x14ac:dyDescent="0.25">
      <c r="A26" s="34">
        <f>'TEACHERS DETAILS'!A26</f>
        <v>25</v>
      </c>
      <c r="B26" s="34">
        <f>'TEACHERS DETAILS'!B26</f>
        <v>0</v>
      </c>
      <c r="C26" s="34">
        <f>'TEACHERS DETAILS'!E26</f>
        <v>0</v>
      </c>
      <c r="D26" s="34">
        <f>'TEACHERS DETAILS'!L26</f>
        <v>0</v>
      </c>
      <c r="E26" s="34">
        <f>'TEACHERS DETAILS'!J26</f>
        <v>0</v>
      </c>
      <c r="F26" s="34">
        <f>'TEACHERS DETAILS'!U26</f>
        <v>0</v>
      </c>
      <c r="G26" s="34">
        <f>'TEACHERS DETAILS'!C26</f>
        <v>0</v>
      </c>
      <c r="H26" s="35"/>
      <c r="R26" s="63"/>
      <c r="S26" s="63"/>
      <c r="T26" s="63"/>
      <c r="U26" s="63"/>
      <c r="V26" s="63"/>
      <c r="W26" s="63"/>
      <c r="Y26" s="65"/>
      <c r="Z26" s="65"/>
      <c r="AA26" s="65"/>
      <c r="AB26" s="65"/>
      <c r="AC26" s="65"/>
      <c r="AD26" s="65"/>
      <c r="AF26" s="65"/>
      <c r="AG26" s="65"/>
      <c r="AH26" s="65"/>
      <c r="AI26" s="65"/>
      <c r="AJ26" s="65"/>
      <c r="AK26" s="65"/>
      <c r="AM26" s="65"/>
      <c r="AN26" s="65"/>
      <c r="AO26" s="65"/>
      <c r="AP26" s="65"/>
      <c r="AQ26" s="65"/>
      <c r="AR26" s="65"/>
      <c r="AT26" s="65"/>
      <c r="AU26" s="65"/>
      <c r="AV26" s="65"/>
      <c r="AW26" s="65"/>
      <c r="AX26" s="65"/>
      <c r="AY26" s="65"/>
      <c r="BA26" s="65"/>
      <c r="BB26" s="65"/>
      <c r="BC26" s="65"/>
      <c r="BD26" s="65"/>
      <c r="BE26" s="65"/>
      <c r="BF26" s="65"/>
      <c r="BH26" s="65"/>
      <c r="BI26" s="65"/>
      <c r="BJ26" s="65"/>
      <c r="BK26" s="65"/>
      <c r="BL26" s="65"/>
      <c r="BM26" s="65"/>
      <c r="BO26" s="65"/>
      <c r="BP26" s="65"/>
      <c r="BQ26" s="65"/>
      <c r="BR26" s="65"/>
      <c r="BS26" s="65"/>
      <c r="BT26" s="65"/>
      <c r="BV26" s="65"/>
      <c r="BW26" s="65"/>
      <c r="BX26" s="65"/>
      <c r="BY26" s="65"/>
      <c r="BZ26" s="65"/>
      <c r="CA26" s="65"/>
      <c r="CC26" s="65"/>
      <c r="CD26" s="65"/>
      <c r="CE26" s="65"/>
      <c r="CF26" s="65"/>
      <c r="CG26" s="65"/>
      <c r="CH26" s="65"/>
      <c r="CJ26" s="65"/>
      <c r="CK26" s="65"/>
      <c r="CL26" s="65"/>
      <c r="CM26" s="65"/>
      <c r="CN26" s="65"/>
      <c r="CO26" s="65"/>
      <c r="CQ26" s="65"/>
      <c r="CR26" s="65"/>
      <c r="CS26" s="65"/>
      <c r="CT26" s="65"/>
      <c r="CU26" s="65"/>
      <c r="CV26" s="65"/>
      <c r="CX26" s="65"/>
      <c r="CY26" s="65"/>
      <c r="CZ26" s="65"/>
      <c r="DA26" s="65"/>
      <c r="DB26" s="65"/>
      <c r="DC26" s="65"/>
      <c r="DE26" s="65"/>
      <c r="DF26" s="65"/>
      <c r="DG26" s="65"/>
      <c r="DH26" s="65"/>
      <c r="DI26" s="65"/>
      <c r="DJ26" s="65"/>
      <c r="DL26" s="65"/>
      <c r="DM26" s="65"/>
      <c r="DN26" s="65"/>
      <c r="DO26" s="65"/>
      <c r="DP26" s="65"/>
      <c r="DQ26" s="65"/>
      <c r="DS26" s="64"/>
      <c r="DT26" s="64"/>
      <c r="DU26" s="64"/>
      <c r="DV26" s="64"/>
      <c r="DW26" s="64"/>
      <c r="DX26" s="64"/>
      <c r="DZ26" s="64"/>
      <c r="EA26" s="64"/>
      <c r="EB26" s="64"/>
      <c r="EC26" s="64"/>
      <c r="ED26" s="64"/>
      <c r="EE26" s="64"/>
      <c r="EG26" s="65"/>
      <c r="EH26" s="65"/>
      <c r="EI26" s="65"/>
      <c r="EJ26" s="65"/>
      <c r="EK26" s="65"/>
      <c r="EL26" s="65"/>
      <c r="EN26" s="65"/>
      <c r="EO26" s="65"/>
      <c r="EP26" s="65"/>
      <c r="EQ26" s="65"/>
      <c r="ER26" s="65"/>
      <c r="ES26" s="65"/>
      <c r="EU26" s="65"/>
      <c r="EV26" s="65"/>
      <c r="EW26" s="65"/>
      <c r="EX26" s="65"/>
      <c r="EY26" s="65"/>
      <c r="EZ26" s="65"/>
      <c r="FB26" s="65"/>
      <c r="FC26" s="65"/>
      <c r="FD26" s="65"/>
      <c r="FE26" s="65"/>
      <c r="FF26" s="65"/>
      <c r="FG26" s="65"/>
      <c r="FI26" s="65"/>
      <c r="FJ26" s="65"/>
      <c r="FK26" s="65"/>
      <c r="FL26" s="65"/>
      <c r="FM26" s="65"/>
      <c r="FN26" s="65"/>
      <c r="FP26" s="65"/>
      <c r="FQ26" s="65"/>
      <c r="FR26" s="65"/>
      <c r="FS26" s="65"/>
      <c r="FT26" s="65"/>
      <c r="FU26" s="65"/>
      <c r="FW26" s="65"/>
      <c r="FX26" s="65"/>
      <c r="FY26" s="65"/>
      <c r="FZ26" s="65"/>
      <c r="GA26" s="65"/>
      <c r="GB26" s="65"/>
      <c r="GD26" s="65"/>
      <c r="GE26" s="65"/>
      <c r="GF26" s="65"/>
      <c r="GG26" s="65"/>
      <c r="GH26" s="65"/>
      <c r="GI26" s="65"/>
      <c r="GK26" s="65"/>
      <c r="GL26" s="65"/>
      <c r="GM26" s="65"/>
      <c r="GN26" s="65"/>
      <c r="GO26" s="65"/>
      <c r="GP26" s="65"/>
      <c r="GR26" s="65"/>
      <c r="GS26" s="65"/>
      <c r="GT26" s="65"/>
      <c r="GU26" s="65"/>
      <c r="GV26" s="65"/>
      <c r="GW26" s="65"/>
      <c r="GY26" s="65"/>
      <c r="GZ26" s="65"/>
      <c r="HA26" s="65"/>
      <c r="HB26" s="65"/>
      <c r="HC26" s="65"/>
      <c r="HD26" s="65"/>
      <c r="HF26" s="65"/>
      <c r="HG26" s="65"/>
      <c r="HH26" s="65"/>
      <c r="HI26" s="65"/>
      <c r="HJ26" s="65"/>
      <c r="HK26" s="65"/>
    </row>
    <row r="27" spans="1:219" ht="15.75" x14ac:dyDescent="0.25">
      <c r="A27" s="34">
        <f>'TEACHERS DETAILS'!A27</f>
        <v>26</v>
      </c>
      <c r="B27" s="34">
        <f>'TEACHERS DETAILS'!B27</f>
        <v>0</v>
      </c>
      <c r="C27" s="34">
        <f>'TEACHERS DETAILS'!E27</f>
        <v>0</v>
      </c>
      <c r="D27" s="34">
        <f>'TEACHERS DETAILS'!L27</f>
        <v>0</v>
      </c>
      <c r="E27" s="34">
        <f>'TEACHERS DETAILS'!J27</f>
        <v>0</v>
      </c>
      <c r="F27" s="34">
        <f>'TEACHERS DETAILS'!U27</f>
        <v>0</v>
      </c>
      <c r="G27" s="34">
        <f>'TEACHERS DETAILS'!C27</f>
        <v>0</v>
      </c>
      <c r="H27" s="35"/>
      <c r="R27" s="63"/>
      <c r="S27" s="63"/>
      <c r="T27" s="63"/>
      <c r="U27" s="63"/>
      <c r="V27" s="63"/>
      <c r="W27" s="63"/>
      <c r="Y27" s="65"/>
      <c r="Z27" s="65"/>
      <c r="AA27" s="65"/>
      <c r="AB27" s="65"/>
      <c r="AC27" s="65"/>
      <c r="AD27" s="65"/>
      <c r="AF27" s="65"/>
      <c r="AG27" s="65"/>
      <c r="AH27" s="65"/>
      <c r="AI27" s="65"/>
      <c r="AJ27" s="65"/>
      <c r="AK27" s="65"/>
      <c r="AM27" s="65"/>
      <c r="AN27" s="65"/>
      <c r="AO27" s="65"/>
      <c r="AP27" s="65"/>
      <c r="AQ27" s="65"/>
      <c r="AR27" s="65"/>
      <c r="AT27" s="65"/>
      <c r="AU27" s="65"/>
      <c r="AV27" s="65"/>
      <c r="AW27" s="65"/>
      <c r="AX27" s="65"/>
      <c r="AY27" s="65"/>
      <c r="BA27" s="65"/>
      <c r="BB27" s="65"/>
      <c r="BC27" s="65"/>
      <c r="BD27" s="65"/>
      <c r="BE27" s="65"/>
      <c r="BF27" s="65"/>
      <c r="BH27" s="65"/>
      <c r="BI27" s="65"/>
      <c r="BJ27" s="65"/>
      <c r="BK27" s="65"/>
      <c r="BL27" s="65"/>
      <c r="BM27" s="65"/>
      <c r="BO27" s="65"/>
      <c r="BP27" s="65"/>
      <c r="BQ27" s="65"/>
      <c r="BR27" s="65"/>
      <c r="BS27" s="65"/>
      <c r="BT27" s="65"/>
      <c r="BV27" s="65"/>
      <c r="BW27" s="65"/>
      <c r="BX27" s="65"/>
      <c r="BY27" s="65"/>
      <c r="BZ27" s="65"/>
      <c r="CA27" s="65"/>
      <c r="CC27" s="65"/>
      <c r="CD27" s="65"/>
      <c r="CE27" s="65"/>
      <c r="CF27" s="65"/>
      <c r="CG27" s="65"/>
      <c r="CH27" s="65"/>
      <c r="CJ27" s="65"/>
      <c r="CK27" s="65"/>
      <c r="CL27" s="65"/>
      <c r="CM27" s="65"/>
      <c r="CN27" s="65"/>
      <c r="CO27" s="65"/>
      <c r="CQ27" s="65"/>
      <c r="CR27" s="65"/>
      <c r="CS27" s="65"/>
      <c r="CT27" s="65"/>
      <c r="CU27" s="65"/>
      <c r="CV27" s="65"/>
      <c r="CX27" s="65"/>
      <c r="CY27" s="65"/>
      <c r="CZ27" s="65"/>
      <c r="DA27" s="65"/>
      <c r="DB27" s="65"/>
      <c r="DC27" s="65"/>
      <c r="DE27" s="65"/>
      <c r="DF27" s="65"/>
      <c r="DG27" s="65"/>
      <c r="DH27" s="65"/>
      <c r="DI27" s="65"/>
      <c r="DJ27" s="65"/>
      <c r="DL27" s="65"/>
      <c r="DM27" s="65"/>
      <c r="DN27" s="65"/>
      <c r="DO27" s="65"/>
      <c r="DP27" s="65"/>
      <c r="DQ27" s="65"/>
      <c r="DS27" s="64"/>
      <c r="DT27" s="64"/>
      <c r="DU27" s="64"/>
      <c r="DV27" s="64"/>
      <c r="DW27" s="64"/>
      <c r="DX27" s="64"/>
      <c r="DZ27" s="64"/>
      <c r="EA27" s="64"/>
      <c r="EB27" s="64"/>
      <c r="EC27" s="64"/>
      <c r="ED27" s="64"/>
      <c r="EE27" s="64"/>
      <c r="EG27" s="65"/>
      <c r="EH27" s="65"/>
      <c r="EI27" s="65"/>
      <c r="EJ27" s="65"/>
      <c r="EK27" s="65"/>
      <c r="EL27" s="65"/>
      <c r="EN27" s="65"/>
      <c r="EO27" s="65"/>
      <c r="EP27" s="65"/>
      <c r="EQ27" s="65"/>
      <c r="ER27" s="65"/>
      <c r="ES27" s="65"/>
      <c r="EU27" s="65"/>
      <c r="EV27" s="65"/>
      <c r="EW27" s="65"/>
      <c r="EX27" s="65"/>
      <c r="EY27" s="65"/>
      <c r="EZ27" s="65"/>
      <c r="FB27" s="65"/>
      <c r="FC27" s="65"/>
      <c r="FD27" s="65"/>
      <c r="FE27" s="65"/>
      <c r="FF27" s="65"/>
      <c r="FG27" s="65"/>
      <c r="FI27" s="65"/>
      <c r="FJ27" s="65"/>
      <c r="FK27" s="65"/>
      <c r="FL27" s="65"/>
      <c r="FM27" s="65"/>
      <c r="FN27" s="65"/>
      <c r="FP27" s="65"/>
      <c r="FQ27" s="65"/>
      <c r="FR27" s="65"/>
      <c r="FS27" s="65"/>
      <c r="FT27" s="65"/>
      <c r="FU27" s="65"/>
      <c r="FW27" s="65"/>
      <c r="FX27" s="65"/>
      <c r="FY27" s="65"/>
      <c r="FZ27" s="65"/>
      <c r="GA27" s="65"/>
      <c r="GB27" s="65"/>
      <c r="GD27" s="65"/>
      <c r="GE27" s="65"/>
      <c r="GF27" s="65"/>
      <c r="GG27" s="65"/>
      <c r="GH27" s="65"/>
      <c r="GI27" s="65"/>
      <c r="GK27" s="65"/>
      <c r="GL27" s="65"/>
      <c r="GM27" s="65"/>
      <c r="GN27" s="65"/>
      <c r="GO27" s="65"/>
      <c r="GP27" s="65"/>
      <c r="GR27" s="65"/>
      <c r="GS27" s="65"/>
      <c r="GT27" s="65"/>
      <c r="GU27" s="65"/>
      <c r="GV27" s="65"/>
      <c r="GW27" s="65"/>
      <c r="GY27" s="65"/>
      <c r="GZ27" s="65"/>
      <c r="HA27" s="65"/>
      <c r="HB27" s="65"/>
      <c r="HC27" s="65"/>
      <c r="HD27" s="65"/>
      <c r="HF27" s="65"/>
      <c r="HG27" s="65"/>
      <c r="HH27" s="65"/>
      <c r="HI27" s="65"/>
      <c r="HJ27" s="65"/>
      <c r="HK27" s="65"/>
    </row>
    <row r="28" spans="1:219" ht="15.75" x14ac:dyDescent="0.25">
      <c r="A28" s="34">
        <f>'TEACHERS DETAILS'!A28</f>
        <v>27</v>
      </c>
      <c r="B28" s="34">
        <f>'TEACHERS DETAILS'!B28</f>
        <v>0</v>
      </c>
      <c r="C28" s="34">
        <f>'TEACHERS DETAILS'!E28</f>
        <v>0</v>
      </c>
      <c r="D28" s="34">
        <f>'TEACHERS DETAILS'!L28</f>
        <v>0</v>
      </c>
      <c r="E28" s="34">
        <f>'TEACHERS DETAILS'!J28</f>
        <v>0</v>
      </c>
      <c r="F28" s="34">
        <f>'TEACHERS DETAILS'!U28</f>
        <v>0</v>
      </c>
      <c r="G28" s="34">
        <f>'TEACHERS DETAILS'!C28</f>
        <v>0</v>
      </c>
      <c r="H28" s="35"/>
      <c r="R28" s="63"/>
      <c r="S28" s="63"/>
      <c r="T28" s="63"/>
      <c r="U28" s="63"/>
      <c r="V28" s="63"/>
      <c r="W28" s="63"/>
      <c r="Y28" s="65"/>
      <c r="Z28" s="65"/>
      <c r="AA28" s="65"/>
      <c r="AB28" s="65"/>
      <c r="AC28" s="65"/>
      <c r="AD28" s="65"/>
      <c r="AF28" s="65"/>
      <c r="AG28" s="65"/>
      <c r="AH28" s="65"/>
      <c r="AI28" s="65"/>
      <c r="AJ28" s="65"/>
      <c r="AK28" s="65"/>
      <c r="AM28" s="65"/>
      <c r="AN28" s="65"/>
      <c r="AO28" s="65"/>
      <c r="AP28" s="65"/>
      <c r="AQ28" s="65"/>
      <c r="AR28" s="65"/>
      <c r="AT28" s="65"/>
      <c r="AU28" s="65"/>
      <c r="AV28" s="65"/>
      <c r="AW28" s="65"/>
      <c r="AX28" s="65"/>
      <c r="AY28" s="65"/>
      <c r="BA28" s="65"/>
      <c r="BB28" s="65"/>
      <c r="BC28" s="65"/>
      <c r="BD28" s="65"/>
      <c r="BE28" s="65"/>
      <c r="BF28" s="65"/>
      <c r="BH28" s="65"/>
      <c r="BI28" s="65"/>
      <c r="BJ28" s="65"/>
      <c r="BK28" s="65"/>
      <c r="BL28" s="65"/>
      <c r="BM28" s="65"/>
      <c r="BO28" s="65"/>
      <c r="BP28" s="65"/>
      <c r="BQ28" s="65"/>
      <c r="BR28" s="65"/>
      <c r="BS28" s="65"/>
      <c r="BT28" s="65"/>
      <c r="BV28" s="65"/>
      <c r="BW28" s="65"/>
      <c r="BX28" s="65"/>
      <c r="BY28" s="65"/>
      <c r="BZ28" s="65"/>
      <c r="CA28" s="65"/>
      <c r="CC28" s="65"/>
      <c r="CD28" s="65"/>
      <c r="CE28" s="65"/>
      <c r="CF28" s="65"/>
      <c r="CG28" s="65"/>
      <c r="CH28" s="65"/>
      <c r="CJ28" s="65"/>
      <c r="CK28" s="65"/>
      <c r="CL28" s="65"/>
      <c r="CM28" s="65"/>
      <c r="CN28" s="65"/>
      <c r="CO28" s="65"/>
      <c r="CQ28" s="65"/>
      <c r="CR28" s="65"/>
      <c r="CS28" s="65"/>
      <c r="CT28" s="65"/>
      <c r="CU28" s="65"/>
      <c r="CV28" s="65"/>
      <c r="CX28" s="65"/>
      <c r="CY28" s="65"/>
      <c r="CZ28" s="65"/>
      <c r="DA28" s="65"/>
      <c r="DB28" s="65"/>
      <c r="DC28" s="65"/>
      <c r="DE28" s="65"/>
      <c r="DF28" s="65"/>
      <c r="DG28" s="65"/>
      <c r="DH28" s="65"/>
      <c r="DI28" s="65"/>
      <c r="DJ28" s="65"/>
      <c r="DL28" s="65"/>
      <c r="DM28" s="65"/>
      <c r="DN28" s="65"/>
      <c r="DO28" s="65"/>
      <c r="DP28" s="65"/>
      <c r="DQ28" s="65"/>
      <c r="DS28" s="64"/>
      <c r="DT28" s="64"/>
      <c r="DU28" s="64"/>
      <c r="DV28" s="64"/>
      <c r="DW28" s="64"/>
      <c r="DX28" s="64"/>
      <c r="DZ28" s="64"/>
      <c r="EA28" s="64"/>
      <c r="EB28" s="64"/>
      <c r="EC28" s="64"/>
      <c r="ED28" s="64"/>
      <c r="EE28" s="64"/>
      <c r="EG28" s="65"/>
      <c r="EH28" s="65"/>
      <c r="EI28" s="65"/>
      <c r="EJ28" s="65"/>
      <c r="EK28" s="65"/>
      <c r="EL28" s="65"/>
      <c r="EN28" s="65"/>
      <c r="EO28" s="65"/>
      <c r="EP28" s="65"/>
      <c r="EQ28" s="65"/>
      <c r="ER28" s="65"/>
      <c r="ES28" s="65"/>
      <c r="EU28" s="65"/>
      <c r="EV28" s="65"/>
      <c r="EW28" s="65"/>
      <c r="EX28" s="65"/>
      <c r="EY28" s="65"/>
      <c r="EZ28" s="65"/>
      <c r="FB28" s="65"/>
      <c r="FC28" s="65"/>
      <c r="FD28" s="65"/>
      <c r="FE28" s="65"/>
      <c r="FF28" s="65"/>
      <c r="FG28" s="65"/>
      <c r="FI28" s="65"/>
      <c r="FJ28" s="65"/>
      <c r="FK28" s="65"/>
      <c r="FL28" s="65"/>
      <c r="FM28" s="65"/>
      <c r="FN28" s="65"/>
      <c r="FP28" s="65"/>
      <c r="FQ28" s="65"/>
      <c r="FR28" s="65"/>
      <c r="FS28" s="65"/>
      <c r="FT28" s="65"/>
      <c r="FU28" s="65"/>
      <c r="FW28" s="65"/>
      <c r="FX28" s="65"/>
      <c r="FY28" s="65"/>
      <c r="FZ28" s="65"/>
      <c r="GA28" s="65"/>
      <c r="GB28" s="65"/>
      <c r="GD28" s="65"/>
      <c r="GE28" s="65"/>
      <c r="GF28" s="65"/>
      <c r="GG28" s="65"/>
      <c r="GH28" s="65"/>
      <c r="GI28" s="65"/>
      <c r="GK28" s="65"/>
      <c r="GL28" s="65"/>
      <c r="GM28" s="65"/>
      <c r="GN28" s="65"/>
      <c r="GO28" s="65"/>
      <c r="GP28" s="65"/>
      <c r="GR28" s="65"/>
      <c r="GS28" s="65"/>
      <c r="GT28" s="65"/>
      <c r="GU28" s="65"/>
      <c r="GV28" s="65"/>
      <c r="GW28" s="65"/>
      <c r="GY28" s="65"/>
      <c r="GZ28" s="65"/>
      <c r="HA28" s="65"/>
      <c r="HB28" s="65"/>
      <c r="HC28" s="65"/>
      <c r="HD28" s="65"/>
      <c r="HF28" s="65"/>
      <c r="HG28" s="65"/>
      <c r="HH28" s="65"/>
      <c r="HI28" s="65"/>
      <c r="HJ28" s="65"/>
      <c r="HK28" s="65"/>
    </row>
    <row r="29" spans="1:219" ht="15.75" x14ac:dyDescent="0.25">
      <c r="A29" s="34">
        <f>'TEACHERS DETAILS'!A29</f>
        <v>28</v>
      </c>
      <c r="B29" s="34">
        <f>'TEACHERS DETAILS'!B29</f>
        <v>0</v>
      </c>
      <c r="C29" s="34">
        <f>'TEACHERS DETAILS'!E29</f>
        <v>0</v>
      </c>
      <c r="D29" s="34">
        <f>'TEACHERS DETAILS'!L29</f>
        <v>0</v>
      </c>
      <c r="E29" s="34">
        <f>'TEACHERS DETAILS'!J29</f>
        <v>0</v>
      </c>
      <c r="F29" s="34">
        <f>'TEACHERS DETAILS'!U29</f>
        <v>0</v>
      </c>
      <c r="G29" s="34">
        <f>'TEACHERS DETAILS'!C29</f>
        <v>0</v>
      </c>
      <c r="H29" s="35"/>
      <c r="R29" s="63"/>
      <c r="S29" s="63"/>
      <c r="T29" s="63"/>
      <c r="U29" s="63"/>
      <c r="V29" s="63"/>
      <c r="W29" s="63"/>
      <c r="Y29" s="65"/>
      <c r="Z29" s="65"/>
      <c r="AA29" s="65"/>
      <c r="AB29" s="65"/>
      <c r="AC29" s="65"/>
      <c r="AD29" s="65"/>
      <c r="AF29" s="65"/>
      <c r="AG29" s="65"/>
      <c r="AH29" s="65"/>
      <c r="AI29" s="65"/>
      <c r="AJ29" s="65"/>
      <c r="AK29" s="65"/>
      <c r="AM29" s="65"/>
      <c r="AN29" s="65"/>
      <c r="AO29" s="65"/>
      <c r="AP29" s="65"/>
      <c r="AQ29" s="65"/>
      <c r="AR29" s="65"/>
      <c r="AT29" s="65"/>
      <c r="AU29" s="65"/>
      <c r="AV29" s="65"/>
      <c r="AW29" s="65"/>
      <c r="AX29" s="65"/>
      <c r="AY29" s="65"/>
      <c r="BA29" s="65"/>
      <c r="BB29" s="65"/>
      <c r="BC29" s="65"/>
      <c r="BD29" s="65"/>
      <c r="BE29" s="65"/>
      <c r="BF29" s="65"/>
      <c r="BH29" s="65"/>
      <c r="BI29" s="65"/>
      <c r="BJ29" s="65"/>
      <c r="BK29" s="65"/>
      <c r="BL29" s="65"/>
      <c r="BM29" s="65"/>
      <c r="BO29" s="65"/>
      <c r="BP29" s="65"/>
      <c r="BQ29" s="65"/>
      <c r="BR29" s="65"/>
      <c r="BS29" s="65"/>
      <c r="BT29" s="65"/>
      <c r="BV29" s="65"/>
      <c r="BW29" s="65"/>
      <c r="BX29" s="65"/>
      <c r="BY29" s="65"/>
      <c r="BZ29" s="65"/>
      <c r="CA29" s="65"/>
      <c r="CC29" s="65"/>
      <c r="CD29" s="65"/>
      <c r="CE29" s="65"/>
      <c r="CF29" s="65"/>
      <c r="CG29" s="65"/>
      <c r="CH29" s="65"/>
      <c r="CJ29" s="65"/>
      <c r="CK29" s="65"/>
      <c r="CL29" s="65"/>
      <c r="CM29" s="65"/>
      <c r="CN29" s="65"/>
      <c r="CO29" s="65"/>
      <c r="CQ29" s="65"/>
      <c r="CR29" s="65"/>
      <c r="CS29" s="65"/>
      <c r="CT29" s="65"/>
      <c r="CU29" s="65"/>
      <c r="CV29" s="65"/>
      <c r="CX29" s="65"/>
      <c r="CY29" s="65"/>
      <c r="CZ29" s="65"/>
      <c r="DA29" s="65"/>
      <c r="DB29" s="65"/>
      <c r="DC29" s="65"/>
      <c r="DE29" s="65"/>
      <c r="DF29" s="65"/>
      <c r="DG29" s="65"/>
      <c r="DH29" s="65"/>
      <c r="DI29" s="65"/>
      <c r="DJ29" s="65"/>
      <c r="DL29" s="65"/>
      <c r="DM29" s="65"/>
      <c r="DN29" s="65"/>
      <c r="DO29" s="65"/>
      <c r="DP29" s="65"/>
      <c r="DQ29" s="65"/>
      <c r="DS29" s="64"/>
      <c r="DT29" s="64"/>
      <c r="DU29" s="64"/>
      <c r="DV29" s="64"/>
      <c r="DW29" s="64"/>
      <c r="DX29" s="64"/>
      <c r="DZ29" s="64"/>
      <c r="EA29" s="64"/>
      <c r="EB29" s="64"/>
      <c r="EC29" s="64"/>
      <c r="ED29" s="64"/>
      <c r="EE29" s="64"/>
      <c r="EG29" s="65"/>
      <c r="EH29" s="65"/>
      <c r="EI29" s="65"/>
      <c r="EJ29" s="65"/>
      <c r="EK29" s="65"/>
      <c r="EL29" s="65"/>
      <c r="EN29" s="65"/>
      <c r="EO29" s="65"/>
      <c r="EP29" s="65"/>
      <c r="EQ29" s="65"/>
      <c r="ER29" s="65"/>
      <c r="ES29" s="65"/>
      <c r="EU29" s="65"/>
      <c r="EV29" s="65"/>
      <c r="EW29" s="65"/>
      <c r="EX29" s="65"/>
      <c r="EY29" s="65"/>
      <c r="EZ29" s="65"/>
      <c r="FB29" s="65"/>
      <c r="FC29" s="65"/>
      <c r="FD29" s="65"/>
      <c r="FE29" s="65"/>
      <c r="FF29" s="65"/>
      <c r="FG29" s="65"/>
      <c r="FI29" s="65"/>
      <c r="FJ29" s="65"/>
      <c r="FK29" s="65"/>
      <c r="FL29" s="65"/>
      <c r="FM29" s="65"/>
      <c r="FN29" s="65"/>
      <c r="FP29" s="65"/>
      <c r="FQ29" s="65"/>
      <c r="FR29" s="65"/>
      <c r="FS29" s="65"/>
      <c r="FT29" s="65"/>
      <c r="FU29" s="65"/>
      <c r="FW29" s="65"/>
      <c r="FX29" s="65"/>
      <c r="FY29" s="65"/>
      <c r="FZ29" s="65"/>
      <c r="GA29" s="65"/>
      <c r="GB29" s="65"/>
      <c r="GD29" s="65"/>
      <c r="GE29" s="65"/>
      <c r="GF29" s="65"/>
      <c r="GG29" s="65"/>
      <c r="GH29" s="65"/>
      <c r="GI29" s="65"/>
      <c r="GK29" s="65"/>
      <c r="GL29" s="65"/>
      <c r="GM29" s="65"/>
      <c r="GN29" s="65"/>
      <c r="GO29" s="65"/>
      <c r="GP29" s="65"/>
      <c r="GR29" s="65"/>
      <c r="GS29" s="65"/>
      <c r="GT29" s="65"/>
      <c r="GU29" s="65"/>
      <c r="GV29" s="65"/>
      <c r="GW29" s="65"/>
      <c r="GY29" s="65"/>
      <c r="GZ29" s="65"/>
      <c r="HA29" s="65"/>
      <c r="HB29" s="65"/>
      <c r="HC29" s="65"/>
      <c r="HD29" s="65"/>
      <c r="HF29" s="65"/>
      <c r="HG29" s="65"/>
      <c r="HH29" s="65"/>
      <c r="HI29" s="65"/>
      <c r="HJ29" s="65"/>
      <c r="HK29" s="65"/>
    </row>
    <row r="30" spans="1:219" ht="15.75" x14ac:dyDescent="0.25">
      <c r="A30" s="34">
        <f>'TEACHERS DETAILS'!A30</f>
        <v>29</v>
      </c>
      <c r="B30" s="34">
        <f>'TEACHERS DETAILS'!B30</f>
        <v>0</v>
      </c>
      <c r="C30" s="34">
        <f>'TEACHERS DETAILS'!E30</f>
        <v>0</v>
      </c>
      <c r="D30" s="34">
        <f>'TEACHERS DETAILS'!L30</f>
        <v>0</v>
      </c>
      <c r="E30" s="34">
        <f>'TEACHERS DETAILS'!J30</f>
        <v>0</v>
      </c>
      <c r="F30" s="34">
        <f>'TEACHERS DETAILS'!U30</f>
        <v>0</v>
      </c>
      <c r="G30" s="34">
        <f>'TEACHERS DETAILS'!C30</f>
        <v>0</v>
      </c>
      <c r="H30" s="35"/>
      <c r="R30" s="63"/>
      <c r="S30" s="63"/>
      <c r="T30" s="63"/>
      <c r="U30" s="63"/>
      <c r="V30" s="63"/>
      <c r="W30" s="63"/>
      <c r="Y30" s="65"/>
      <c r="Z30" s="65"/>
      <c r="AA30" s="65"/>
      <c r="AB30" s="65"/>
      <c r="AC30" s="65"/>
      <c r="AD30" s="65"/>
      <c r="AF30" s="65"/>
      <c r="AG30" s="65"/>
      <c r="AH30" s="65"/>
      <c r="AI30" s="65"/>
      <c r="AJ30" s="65"/>
      <c r="AK30" s="65"/>
      <c r="AM30" s="65"/>
      <c r="AN30" s="65"/>
      <c r="AO30" s="65"/>
      <c r="AP30" s="65"/>
      <c r="AQ30" s="65"/>
      <c r="AR30" s="65"/>
      <c r="AT30" s="65"/>
      <c r="AU30" s="65"/>
      <c r="AV30" s="65"/>
      <c r="AW30" s="65"/>
      <c r="AX30" s="65"/>
      <c r="AY30" s="65"/>
      <c r="BA30" s="65"/>
      <c r="BB30" s="65"/>
      <c r="BC30" s="65"/>
      <c r="BD30" s="65"/>
      <c r="BE30" s="65"/>
      <c r="BF30" s="65"/>
      <c r="BH30" s="65"/>
      <c r="BI30" s="65"/>
      <c r="BJ30" s="65"/>
      <c r="BK30" s="65"/>
      <c r="BL30" s="65"/>
      <c r="BM30" s="65"/>
      <c r="BO30" s="65"/>
      <c r="BP30" s="65"/>
      <c r="BQ30" s="65"/>
      <c r="BR30" s="65"/>
      <c r="BS30" s="65"/>
      <c r="BT30" s="65"/>
      <c r="BV30" s="65"/>
      <c r="BW30" s="65"/>
      <c r="BX30" s="65"/>
      <c r="BY30" s="65"/>
      <c r="BZ30" s="65"/>
      <c r="CA30" s="65"/>
      <c r="CC30" s="65"/>
      <c r="CD30" s="65"/>
      <c r="CE30" s="65"/>
      <c r="CF30" s="65"/>
      <c r="CG30" s="65"/>
      <c r="CH30" s="65"/>
      <c r="CJ30" s="65"/>
      <c r="CK30" s="65"/>
      <c r="CL30" s="65"/>
      <c r="CM30" s="65"/>
      <c r="CN30" s="65"/>
      <c r="CO30" s="65"/>
      <c r="CQ30" s="65"/>
      <c r="CR30" s="65"/>
      <c r="CS30" s="65"/>
      <c r="CT30" s="65"/>
      <c r="CU30" s="65"/>
      <c r="CV30" s="65"/>
      <c r="CX30" s="65"/>
      <c r="CY30" s="65"/>
      <c r="CZ30" s="65"/>
      <c r="DA30" s="65"/>
      <c r="DB30" s="65"/>
      <c r="DC30" s="65"/>
      <c r="DE30" s="65"/>
      <c r="DF30" s="65"/>
      <c r="DG30" s="65"/>
      <c r="DH30" s="65"/>
      <c r="DI30" s="65"/>
      <c r="DJ30" s="65"/>
      <c r="DL30" s="65"/>
      <c r="DM30" s="65"/>
      <c r="DN30" s="65"/>
      <c r="DO30" s="65"/>
      <c r="DP30" s="65"/>
      <c r="DQ30" s="65"/>
      <c r="DS30" s="64"/>
      <c r="DT30" s="64"/>
      <c r="DU30" s="64"/>
      <c r="DV30" s="64"/>
      <c r="DW30" s="64"/>
      <c r="DX30" s="64"/>
      <c r="DZ30" s="64"/>
      <c r="EA30" s="64"/>
      <c r="EB30" s="64"/>
      <c r="EC30" s="64"/>
      <c r="ED30" s="64"/>
      <c r="EE30" s="64"/>
      <c r="EG30" s="65"/>
      <c r="EH30" s="65"/>
      <c r="EI30" s="65"/>
      <c r="EJ30" s="65"/>
      <c r="EK30" s="65"/>
      <c r="EL30" s="65"/>
      <c r="EN30" s="65"/>
      <c r="EO30" s="65"/>
      <c r="EP30" s="65"/>
      <c r="EQ30" s="65"/>
      <c r="ER30" s="65"/>
      <c r="ES30" s="65"/>
      <c r="EU30" s="65"/>
      <c r="EV30" s="65"/>
      <c r="EW30" s="65"/>
      <c r="EX30" s="65"/>
      <c r="EY30" s="65"/>
      <c r="EZ30" s="65"/>
      <c r="FB30" s="65"/>
      <c r="FC30" s="65"/>
      <c r="FD30" s="65"/>
      <c r="FE30" s="65"/>
      <c r="FF30" s="65"/>
      <c r="FG30" s="65"/>
      <c r="FI30" s="65"/>
      <c r="FJ30" s="65"/>
      <c r="FK30" s="65"/>
      <c r="FL30" s="65"/>
      <c r="FM30" s="65"/>
      <c r="FN30" s="65"/>
      <c r="FP30" s="65"/>
      <c r="FQ30" s="65"/>
      <c r="FR30" s="65"/>
      <c r="FS30" s="65"/>
      <c r="FT30" s="65"/>
      <c r="FU30" s="65"/>
      <c r="FW30" s="65"/>
      <c r="FX30" s="65"/>
      <c r="FY30" s="65"/>
      <c r="FZ30" s="65"/>
      <c r="GA30" s="65"/>
      <c r="GB30" s="65"/>
      <c r="GD30" s="65"/>
      <c r="GE30" s="65"/>
      <c r="GF30" s="65"/>
      <c r="GG30" s="65"/>
      <c r="GH30" s="65"/>
      <c r="GI30" s="65"/>
      <c r="GK30" s="65"/>
      <c r="GL30" s="65"/>
      <c r="GM30" s="65"/>
      <c r="GN30" s="65"/>
      <c r="GO30" s="65"/>
      <c r="GP30" s="65"/>
      <c r="GR30" s="65"/>
      <c r="GS30" s="65"/>
      <c r="GT30" s="65"/>
      <c r="GU30" s="65"/>
      <c r="GV30" s="65"/>
      <c r="GW30" s="65"/>
      <c r="GY30" s="65"/>
      <c r="GZ30" s="65"/>
      <c r="HA30" s="65"/>
      <c r="HB30" s="65"/>
      <c r="HC30" s="65"/>
      <c r="HD30" s="65"/>
      <c r="HF30" s="65"/>
      <c r="HG30" s="65"/>
      <c r="HH30" s="65"/>
      <c r="HI30" s="65"/>
      <c r="HJ30" s="65"/>
      <c r="HK30" s="65"/>
    </row>
  </sheetData>
  <sheetProtection password="CC3D" sheet="1" objects="1" scenarios="1"/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2:M219"/>
  <sheetViews>
    <sheetView zoomScale="90" zoomScaleNormal="90" workbookViewId="0"/>
  </sheetViews>
  <sheetFormatPr defaultRowHeight="15" x14ac:dyDescent="0.25"/>
  <cols>
    <col min="1" max="1" width="12.28515625" customWidth="1"/>
    <col min="2" max="2" width="37.7109375" customWidth="1"/>
    <col min="3" max="3" width="12.85546875" customWidth="1"/>
    <col min="4" max="4" width="15" customWidth="1"/>
    <col min="5" max="5" width="21.5703125" customWidth="1"/>
    <col min="6" max="6" width="16.85546875" customWidth="1"/>
    <col min="7" max="7" width="19.28515625" customWidth="1"/>
    <col min="8" max="8" width="19" customWidth="1"/>
    <col min="9" max="9" width="20.28515625" customWidth="1"/>
    <col min="10" max="10" width="17.42578125" customWidth="1"/>
    <col min="11" max="12" width="14" customWidth="1"/>
    <col min="13" max="13" width="12.7109375" customWidth="1"/>
  </cols>
  <sheetData>
    <row r="2" spans="1:13" ht="27.75" customHeight="1" x14ac:dyDescent="0.25"/>
    <row r="3" spans="1:13" ht="30" x14ac:dyDescent="0.4">
      <c r="A3" s="90" t="s">
        <v>59</v>
      </c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</row>
    <row r="5" spans="1:13" ht="15.75" x14ac:dyDescent="0.25">
      <c r="A5" s="38" t="s">
        <v>4</v>
      </c>
      <c r="B5" s="37" t="s">
        <v>5</v>
      </c>
      <c r="C5" s="37" t="s">
        <v>6</v>
      </c>
      <c r="D5" s="37" t="s">
        <v>51</v>
      </c>
      <c r="E5" s="37" t="s">
        <v>8</v>
      </c>
      <c r="F5" s="37" t="s">
        <v>52</v>
      </c>
      <c r="G5" s="37" t="s">
        <v>53</v>
      </c>
      <c r="H5" s="37" t="s">
        <v>54</v>
      </c>
      <c r="I5" s="37" t="s">
        <v>55</v>
      </c>
      <c r="J5" s="37" t="s">
        <v>56</v>
      </c>
      <c r="K5" s="37" t="s">
        <v>57</v>
      </c>
      <c r="L5" s="37" t="s">
        <v>73</v>
      </c>
      <c r="M5" s="37" t="s">
        <v>58</v>
      </c>
    </row>
    <row r="6" spans="1:13" ht="15.75" x14ac:dyDescent="0.25">
      <c r="A6" s="33">
        <f>'LEARNERS DETAILS'!A2</f>
        <v>1</v>
      </c>
      <c r="B6" s="33" t="str">
        <f>'LEARNERS DETAILS'!B2</f>
        <v>Grace</v>
      </c>
      <c r="C6" s="33" t="str">
        <f>'LEARNERS DETAILS'!C2</f>
        <v>ABSENT</v>
      </c>
      <c r="D6" s="33" t="str">
        <f>'LEARNERS DETAILS'!D2</f>
        <v>Female</v>
      </c>
      <c r="E6" s="69">
        <f>'LEARNERS DETAILS'!F2</f>
        <v>45691</v>
      </c>
      <c r="F6" s="33" t="b">
        <f>IF(C6="GRADE 1",1000,IF(C6="GRADE 2",2000,IF(C6="GRADE 3",3000,IF(C6="GRADE 4",4000,IF(C6="GRADE 5",4000,IF(C6="GRADE 6",5000,IF(C6="GRADE 7",6000,IF(C6="GRADE 8",7000,IF(C6="GRADE 9",8000,IF(C6="GRADE 10",9000,IF(C6="GRADE 11",10000,IF(C6="GRADE 12",11000))))))))))))</f>
        <v>0</v>
      </c>
      <c r="G6" s="33"/>
      <c r="H6" s="33">
        <v>5000</v>
      </c>
      <c r="I6" s="33"/>
      <c r="J6" s="33"/>
      <c r="K6" s="33">
        <f>SUM(G6:J6)</f>
        <v>5000</v>
      </c>
      <c r="L6" s="33">
        <f>F6-K6</f>
        <v>-5000</v>
      </c>
      <c r="M6" s="33" t="str">
        <f>IF(K6&gt;=F6,"CLEARED",IF(K6&lt;F6,"WITH BAL","FALSE"))</f>
        <v>WITH BAL</v>
      </c>
    </row>
    <row r="7" spans="1:13" ht="15.75" x14ac:dyDescent="0.25">
      <c r="A7" s="33">
        <f>'LEARNERS DETAILS'!A3</f>
        <v>2</v>
      </c>
      <c r="B7" s="33" t="str">
        <f>'LEARNERS DETAILS'!B3</f>
        <v>Ethan</v>
      </c>
      <c r="C7" s="33" t="str">
        <f>'LEARNERS DETAILS'!C3</f>
        <v>GRADE 4</v>
      </c>
      <c r="D7" s="33" t="str">
        <f>'LEARNERS DETAILS'!D3</f>
        <v>Male</v>
      </c>
      <c r="E7" s="69">
        <f>'LEARNERS DETAILS'!F3</f>
        <v>45608</v>
      </c>
      <c r="F7" s="33">
        <f t="shared" ref="F7:F10" si="0">IF(C7="GRADE 1",1000,IF(C7="GRADE 2",2000,IF(C7="GRADE 3",3000,IF(C7="GRADE 4",4000,IF(C7="GRADE 5",4000,IF(C7="GRADE 6",5000,IF(C7="GRADE 7",6000,IF(C7="GRADE 8",7000,IF(C7="GRADE 9",8000,IF(C7="GRADE 10",9000,IF(C7="GRADE 11",10000,IF(C7="GRADE 12",11000))))))))))))</f>
        <v>4000</v>
      </c>
      <c r="G7" s="33"/>
      <c r="H7" s="33">
        <v>100000</v>
      </c>
      <c r="I7" s="33"/>
      <c r="J7" s="33"/>
      <c r="K7" s="33">
        <f t="shared" ref="K7:K70" si="1">SUM(G7:J7)</f>
        <v>100000</v>
      </c>
      <c r="L7" s="33">
        <f t="shared" ref="L7:L70" si="2">F7-K7</f>
        <v>-96000</v>
      </c>
      <c r="M7" s="33" t="str">
        <f t="shared" ref="M7:M70" si="3">IF(K7&gt;=F7,"CLEARED",IF(K7&lt;F7,"WITH BAL","FALSE"))</f>
        <v>CLEARED</v>
      </c>
    </row>
    <row r="8" spans="1:13" ht="15.75" x14ac:dyDescent="0.25">
      <c r="A8" s="33">
        <f>'LEARNERS DETAILS'!A4</f>
        <v>3</v>
      </c>
      <c r="B8" s="33">
        <f>'LEARNERS DETAILS'!B4</f>
        <v>0</v>
      </c>
      <c r="C8" s="33">
        <f>'LEARNERS DETAILS'!C4</f>
        <v>0</v>
      </c>
      <c r="D8" s="33">
        <f>'LEARNERS DETAILS'!D4</f>
        <v>0</v>
      </c>
      <c r="E8" s="69">
        <f>'LEARNERS DETAILS'!F4</f>
        <v>0</v>
      </c>
      <c r="F8" s="33" t="b">
        <f t="shared" si="0"/>
        <v>0</v>
      </c>
      <c r="G8" s="33"/>
      <c r="H8" s="33"/>
      <c r="I8" s="33"/>
      <c r="J8" s="33"/>
      <c r="K8" s="33">
        <f t="shared" si="1"/>
        <v>0</v>
      </c>
      <c r="L8" s="33">
        <f t="shared" si="2"/>
        <v>0</v>
      </c>
      <c r="M8" s="33" t="str">
        <f t="shared" si="3"/>
        <v>WITH BAL</v>
      </c>
    </row>
    <row r="9" spans="1:13" ht="15.75" x14ac:dyDescent="0.25">
      <c r="A9" s="33">
        <f>'LEARNERS DETAILS'!A5</f>
        <v>4</v>
      </c>
      <c r="B9" s="33">
        <f>'LEARNERS DETAILS'!B5</f>
        <v>0</v>
      </c>
      <c r="C9" s="33">
        <f>'LEARNERS DETAILS'!C5</f>
        <v>0</v>
      </c>
      <c r="D9" s="33">
        <f>'LEARNERS DETAILS'!D5</f>
        <v>0</v>
      </c>
      <c r="E9" s="69">
        <f>'LEARNERS DETAILS'!F5</f>
        <v>0</v>
      </c>
      <c r="F9" s="33" t="b">
        <f t="shared" si="0"/>
        <v>0</v>
      </c>
      <c r="G9" s="33"/>
      <c r="H9" s="33">
        <v>5000</v>
      </c>
      <c r="I9" s="33"/>
      <c r="J9" s="33"/>
      <c r="K9" s="33">
        <f t="shared" si="1"/>
        <v>5000</v>
      </c>
      <c r="L9" s="33">
        <f t="shared" si="2"/>
        <v>-5000</v>
      </c>
      <c r="M9" s="33" t="str">
        <f t="shared" si="3"/>
        <v>WITH BAL</v>
      </c>
    </row>
    <row r="10" spans="1:13" ht="15.75" x14ac:dyDescent="0.25">
      <c r="A10" s="33">
        <f>'LEARNERS DETAILS'!A6</f>
        <v>5</v>
      </c>
      <c r="B10" s="33">
        <f>'LEARNERS DETAILS'!B6</f>
        <v>0</v>
      </c>
      <c r="C10" s="33">
        <f>'LEARNERS DETAILS'!C6</f>
        <v>0</v>
      </c>
      <c r="D10" s="33">
        <f>'LEARNERS DETAILS'!D6</f>
        <v>0</v>
      </c>
      <c r="E10" s="69">
        <f>'LEARNERS DETAILS'!F6</f>
        <v>0</v>
      </c>
      <c r="F10" s="33" t="b">
        <f t="shared" si="0"/>
        <v>0</v>
      </c>
      <c r="G10" s="33"/>
      <c r="H10" s="33"/>
      <c r="I10" s="33"/>
      <c r="J10" s="33"/>
      <c r="K10" s="33">
        <f t="shared" si="1"/>
        <v>0</v>
      </c>
      <c r="L10" s="33">
        <f t="shared" si="2"/>
        <v>0</v>
      </c>
      <c r="M10" s="33" t="str">
        <f t="shared" si="3"/>
        <v>WITH BAL</v>
      </c>
    </row>
    <row r="11" spans="1:13" ht="15.75" x14ac:dyDescent="0.25">
      <c r="A11" s="33">
        <f>'LEARNERS DETAILS'!A7</f>
        <v>6</v>
      </c>
      <c r="B11" s="33">
        <f>'LEARNERS DETAILS'!B7</f>
        <v>0</v>
      </c>
      <c r="C11" s="33">
        <f>'LEARNERS DETAILS'!C7</f>
        <v>0</v>
      </c>
      <c r="D11" s="33">
        <f>'LEARNERS DETAILS'!D7</f>
        <v>0</v>
      </c>
      <c r="E11" s="69">
        <f>'LEARNERS DETAILS'!F7</f>
        <v>0</v>
      </c>
      <c r="F11" s="33" t="b">
        <f t="shared" ref="F11:F71" si="4">IF(C11="GRADE 1",1000,IF(C11="GRADE 2",2000,IF(C11="GRADE 3",3000,IF(C11="GRADE 4",4000,IF(C11="GRADE 5",4000,IF(C11="GRADE 6",5000,IF(C11="GRADE 7",6000,IF(C11="GRADE 8",7000,IF(C11="GRADE 9",8000,IF(C11="GRADE 10",9000,IF(C11="GRADE 11",10000,IF(C11="GRADE 12",11000))))))))))))</f>
        <v>0</v>
      </c>
      <c r="G11" s="33"/>
      <c r="H11" s="33"/>
      <c r="I11" s="33"/>
      <c r="J11" s="33"/>
      <c r="K11" s="33">
        <f t="shared" si="1"/>
        <v>0</v>
      </c>
      <c r="L11" s="33">
        <f t="shared" si="2"/>
        <v>0</v>
      </c>
      <c r="M11" s="33" t="str">
        <f t="shared" si="3"/>
        <v>WITH BAL</v>
      </c>
    </row>
    <row r="12" spans="1:13" ht="15.75" x14ac:dyDescent="0.25">
      <c r="A12" s="33">
        <f>'LEARNERS DETAILS'!A8</f>
        <v>7</v>
      </c>
      <c r="B12" s="33">
        <f>'LEARNERS DETAILS'!B8</f>
        <v>0</v>
      </c>
      <c r="C12" s="33">
        <f>'LEARNERS DETAILS'!C8</f>
        <v>0</v>
      </c>
      <c r="D12" s="33">
        <f>'LEARNERS DETAILS'!D8</f>
        <v>0</v>
      </c>
      <c r="E12" s="69">
        <f>'LEARNERS DETAILS'!F8</f>
        <v>0</v>
      </c>
      <c r="F12" s="33" t="b">
        <f t="shared" si="4"/>
        <v>0</v>
      </c>
      <c r="G12" s="33"/>
      <c r="H12" s="33"/>
      <c r="I12" s="33"/>
      <c r="J12" s="33"/>
      <c r="K12" s="33">
        <f t="shared" si="1"/>
        <v>0</v>
      </c>
      <c r="L12" s="33">
        <f t="shared" si="2"/>
        <v>0</v>
      </c>
      <c r="M12" s="33" t="str">
        <f t="shared" si="3"/>
        <v>WITH BAL</v>
      </c>
    </row>
    <row r="13" spans="1:13" ht="15.75" x14ac:dyDescent="0.25">
      <c r="A13" s="33">
        <f>'LEARNERS DETAILS'!A9</f>
        <v>8</v>
      </c>
      <c r="B13" s="33">
        <f>'LEARNERS DETAILS'!B9</f>
        <v>0</v>
      </c>
      <c r="C13" s="33">
        <f>'LEARNERS DETAILS'!C9</f>
        <v>0</v>
      </c>
      <c r="D13" s="33">
        <f>'LEARNERS DETAILS'!D9</f>
        <v>0</v>
      </c>
      <c r="E13" s="69">
        <f>'LEARNERS DETAILS'!F9</f>
        <v>0</v>
      </c>
      <c r="F13" s="33" t="b">
        <f t="shared" si="4"/>
        <v>0</v>
      </c>
      <c r="G13" s="33"/>
      <c r="H13" s="33"/>
      <c r="I13" s="33"/>
      <c r="J13" s="33"/>
      <c r="K13" s="33">
        <f t="shared" si="1"/>
        <v>0</v>
      </c>
      <c r="L13" s="33">
        <f t="shared" si="2"/>
        <v>0</v>
      </c>
      <c r="M13" s="33" t="str">
        <f t="shared" si="3"/>
        <v>WITH BAL</v>
      </c>
    </row>
    <row r="14" spans="1:13" ht="15.75" x14ac:dyDescent="0.25">
      <c r="A14" s="33">
        <f>'LEARNERS DETAILS'!A10</f>
        <v>9</v>
      </c>
      <c r="B14" s="33">
        <f>'LEARNERS DETAILS'!B10</f>
        <v>0</v>
      </c>
      <c r="C14" s="33">
        <f>'LEARNERS DETAILS'!C10</f>
        <v>0</v>
      </c>
      <c r="D14" s="33">
        <f>'LEARNERS DETAILS'!D10</f>
        <v>0</v>
      </c>
      <c r="E14" s="69">
        <f>'LEARNERS DETAILS'!F10</f>
        <v>0</v>
      </c>
      <c r="F14" s="33" t="b">
        <f t="shared" si="4"/>
        <v>0</v>
      </c>
      <c r="G14" s="33"/>
      <c r="H14" s="33"/>
      <c r="I14" s="33"/>
      <c r="J14" s="33"/>
      <c r="K14" s="33">
        <f t="shared" si="1"/>
        <v>0</v>
      </c>
      <c r="L14" s="33">
        <f t="shared" si="2"/>
        <v>0</v>
      </c>
      <c r="M14" s="33" t="str">
        <f t="shared" si="3"/>
        <v>WITH BAL</v>
      </c>
    </row>
    <row r="15" spans="1:13" ht="15.75" x14ac:dyDescent="0.25">
      <c r="A15" s="33">
        <f>'LEARNERS DETAILS'!A11</f>
        <v>10</v>
      </c>
      <c r="B15" s="33">
        <f>'LEARNERS DETAILS'!B11</f>
        <v>0</v>
      </c>
      <c r="C15" s="33">
        <f>'LEARNERS DETAILS'!C11</f>
        <v>0</v>
      </c>
      <c r="D15" s="33">
        <f>'LEARNERS DETAILS'!D11</f>
        <v>0</v>
      </c>
      <c r="E15" s="69">
        <f>'LEARNERS DETAILS'!F11</f>
        <v>0</v>
      </c>
      <c r="F15" s="33" t="b">
        <f t="shared" si="4"/>
        <v>0</v>
      </c>
      <c r="G15" s="33"/>
      <c r="H15" s="33"/>
      <c r="I15" s="33"/>
      <c r="J15" s="33"/>
      <c r="K15" s="33">
        <f t="shared" si="1"/>
        <v>0</v>
      </c>
      <c r="L15" s="33">
        <f t="shared" si="2"/>
        <v>0</v>
      </c>
      <c r="M15" s="33" t="str">
        <f t="shared" si="3"/>
        <v>WITH BAL</v>
      </c>
    </row>
    <row r="16" spans="1:13" ht="15.75" x14ac:dyDescent="0.25">
      <c r="A16" s="33">
        <f>'LEARNERS DETAILS'!A12</f>
        <v>11</v>
      </c>
      <c r="B16" s="33">
        <f>'LEARNERS DETAILS'!B12</f>
        <v>0</v>
      </c>
      <c r="C16" s="33">
        <f>'LEARNERS DETAILS'!C12</f>
        <v>0</v>
      </c>
      <c r="D16" s="33">
        <f>'LEARNERS DETAILS'!D12</f>
        <v>0</v>
      </c>
      <c r="E16" s="69">
        <f>'LEARNERS DETAILS'!F12</f>
        <v>0</v>
      </c>
      <c r="F16" s="33" t="b">
        <f t="shared" si="4"/>
        <v>0</v>
      </c>
      <c r="G16" s="33"/>
      <c r="H16" s="33"/>
      <c r="I16" s="33"/>
      <c r="J16" s="33"/>
      <c r="K16" s="33">
        <f t="shared" si="1"/>
        <v>0</v>
      </c>
      <c r="L16" s="33">
        <f t="shared" si="2"/>
        <v>0</v>
      </c>
      <c r="M16" s="33" t="str">
        <f t="shared" si="3"/>
        <v>WITH BAL</v>
      </c>
    </row>
    <row r="17" spans="1:13" ht="15.75" x14ac:dyDescent="0.25">
      <c r="A17" s="33">
        <f>'LEARNERS DETAILS'!A13</f>
        <v>12</v>
      </c>
      <c r="B17" s="33">
        <f>'LEARNERS DETAILS'!B13</f>
        <v>0</v>
      </c>
      <c r="C17" s="33">
        <f>'LEARNERS DETAILS'!C13</f>
        <v>0</v>
      </c>
      <c r="D17" s="33">
        <f>'LEARNERS DETAILS'!D13</f>
        <v>0</v>
      </c>
      <c r="E17" s="69">
        <f>'LEARNERS DETAILS'!F13</f>
        <v>0</v>
      </c>
      <c r="F17" s="33" t="b">
        <f t="shared" si="4"/>
        <v>0</v>
      </c>
      <c r="G17" s="33"/>
      <c r="H17" s="33"/>
      <c r="I17" s="33"/>
      <c r="J17" s="33"/>
      <c r="K17" s="33">
        <f t="shared" si="1"/>
        <v>0</v>
      </c>
      <c r="L17" s="33">
        <f t="shared" si="2"/>
        <v>0</v>
      </c>
      <c r="M17" s="33" t="str">
        <f t="shared" si="3"/>
        <v>WITH BAL</v>
      </c>
    </row>
    <row r="18" spans="1:13" ht="15.75" x14ac:dyDescent="0.25">
      <c r="A18" s="33">
        <f>'LEARNERS DETAILS'!A14</f>
        <v>13</v>
      </c>
      <c r="B18" s="33">
        <f>'LEARNERS DETAILS'!B14</f>
        <v>0</v>
      </c>
      <c r="C18" s="33">
        <f>'LEARNERS DETAILS'!C14</f>
        <v>0</v>
      </c>
      <c r="D18" s="33">
        <f>'LEARNERS DETAILS'!D14</f>
        <v>0</v>
      </c>
      <c r="E18" s="69">
        <f>'LEARNERS DETAILS'!F14</f>
        <v>0</v>
      </c>
      <c r="F18" s="33" t="b">
        <f t="shared" si="4"/>
        <v>0</v>
      </c>
      <c r="G18" s="33"/>
      <c r="H18" s="33"/>
      <c r="I18" s="33"/>
      <c r="J18" s="33"/>
      <c r="K18" s="33">
        <f t="shared" si="1"/>
        <v>0</v>
      </c>
      <c r="L18" s="33">
        <f t="shared" si="2"/>
        <v>0</v>
      </c>
      <c r="M18" s="33" t="str">
        <f t="shared" si="3"/>
        <v>WITH BAL</v>
      </c>
    </row>
    <row r="19" spans="1:13" ht="15.75" x14ac:dyDescent="0.25">
      <c r="A19" s="33">
        <f>'LEARNERS DETAILS'!A15</f>
        <v>14</v>
      </c>
      <c r="B19" s="33">
        <f>'LEARNERS DETAILS'!B15</f>
        <v>0</v>
      </c>
      <c r="C19" s="33">
        <f>'LEARNERS DETAILS'!C15</f>
        <v>0</v>
      </c>
      <c r="D19" s="33">
        <f>'LEARNERS DETAILS'!D15</f>
        <v>0</v>
      </c>
      <c r="E19" s="69">
        <f>'LEARNERS DETAILS'!F15</f>
        <v>0</v>
      </c>
      <c r="F19" s="33" t="b">
        <f t="shared" si="4"/>
        <v>0</v>
      </c>
      <c r="G19" s="33"/>
      <c r="H19" s="33"/>
      <c r="I19" s="33"/>
      <c r="J19" s="33"/>
      <c r="K19" s="33">
        <f t="shared" si="1"/>
        <v>0</v>
      </c>
      <c r="L19" s="33">
        <f t="shared" si="2"/>
        <v>0</v>
      </c>
      <c r="M19" s="33" t="str">
        <f t="shared" si="3"/>
        <v>WITH BAL</v>
      </c>
    </row>
    <row r="20" spans="1:13" ht="15.75" x14ac:dyDescent="0.25">
      <c r="A20" s="33">
        <f>'LEARNERS DETAILS'!A16</f>
        <v>15</v>
      </c>
      <c r="B20" s="33">
        <f>'LEARNERS DETAILS'!B16</f>
        <v>0</v>
      </c>
      <c r="C20" s="33">
        <f>'LEARNERS DETAILS'!C16</f>
        <v>0</v>
      </c>
      <c r="D20" s="33">
        <f>'LEARNERS DETAILS'!D16</f>
        <v>0</v>
      </c>
      <c r="E20" s="69">
        <f>'LEARNERS DETAILS'!F16</f>
        <v>0</v>
      </c>
      <c r="F20" s="33" t="b">
        <f t="shared" si="4"/>
        <v>0</v>
      </c>
      <c r="G20" s="33"/>
      <c r="H20" s="33"/>
      <c r="I20" s="33"/>
      <c r="J20" s="33"/>
      <c r="K20" s="33">
        <f t="shared" si="1"/>
        <v>0</v>
      </c>
      <c r="L20" s="33">
        <f t="shared" si="2"/>
        <v>0</v>
      </c>
      <c r="M20" s="33" t="str">
        <f t="shared" si="3"/>
        <v>WITH BAL</v>
      </c>
    </row>
    <row r="21" spans="1:13" ht="15.75" x14ac:dyDescent="0.25">
      <c r="A21" s="33">
        <f>'LEARNERS DETAILS'!A17</f>
        <v>16</v>
      </c>
      <c r="B21" s="33">
        <f>'LEARNERS DETAILS'!B17</f>
        <v>0</v>
      </c>
      <c r="C21" s="33">
        <f>'LEARNERS DETAILS'!C17</f>
        <v>0</v>
      </c>
      <c r="D21" s="33">
        <f>'LEARNERS DETAILS'!D17</f>
        <v>0</v>
      </c>
      <c r="E21" s="69">
        <f>'LEARNERS DETAILS'!F17</f>
        <v>0</v>
      </c>
      <c r="F21" s="33" t="b">
        <f t="shared" si="4"/>
        <v>0</v>
      </c>
      <c r="G21" s="33"/>
      <c r="H21" s="33"/>
      <c r="I21" s="33"/>
      <c r="J21" s="33"/>
      <c r="K21" s="33">
        <f t="shared" si="1"/>
        <v>0</v>
      </c>
      <c r="L21" s="33">
        <f t="shared" si="2"/>
        <v>0</v>
      </c>
      <c r="M21" s="33" t="str">
        <f t="shared" si="3"/>
        <v>WITH BAL</v>
      </c>
    </row>
    <row r="22" spans="1:13" ht="15.75" x14ac:dyDescent="0.25">
      <c r="A22" s="33">
        <f>'LEARNERS DETAILS'!A18</f>
        <v>17</v>
      </c>
      <c r="B22" s="33">
        <f>'LEARNERS DETAILS'!B18</f>
        <v>0</v>
      </c>
      <c r="C22" s="33">
        <f>'LEARNERS DETAILS'!C18</f>
        <v>0</v>
      </c>
      <c r="D22" s="33">
        <f>'LEARNERS DETAILS'!D18</f>
        <v>0</v>
      </c>
      <c r="E22" s="69">
        <f>'LEARNERS DETAILS'!F18</f>
        <v>0</v>
      </c>
      <c r="F22" s="33" t="b">
        <f t="shared" si="4"/>
        <v>0</v>
      </c>
      <c r="G22" s="33"/>
      <c r="H22" s="33"/>
      <c r="I22" s="33"/>
      <c r="J22" s="33"/>
      <c r="K22" s="33">
        <f t="shared" si="1"/>
        <v>0</v>
      </c>
      <c r="L22" s="33">
        <f t="shared" si="2"/>
        <v>0</v>
      </c>
      <c r="M22" s="33" t="str">
        <f t="shared" si="3"/>
        <v>WITH BAL</v>
      </c>
    </row>
    <row r="23" spans="1:13" ht="15.75" x14ac:dyDescent="0.25">
      <c r="A23" s="33">
        <f>'LEARNERS DETAILS'!A19</f>
        <v>18</v>
      </c>
      <c r="B23" s="33">
        <f>'LEARNERS DETAILS'!B19</f>
        <v>0</v>
      </c>
      <c r="C23" s="33">
        <f>'LEARNERS DETAILS'!C19</f>
        <v>0</v>
      </c>
      <c r="D23" s="33">
        <f>'LEARNERS DETAILS'!D19</f>
        <v>0</v>
      </c>
      <c r="E23" s="69">
        <f>'LEARNERS DETAILS'!F19</f>
        <v>0</v>
      </c>
      <c r="F23" s="33" t="b">
        <f t="shared" si="4"/>
        <v>0</v>
      </c>
      <c r="G23" s="33"/>
      <c r="H23" s="33"/>
      <c r="I23" s="33"/>
      <c r="J23" s="33"/>
      <c r="K23" s="33">
        <f t="shared" si="1"/>
        <v>0</v>
      </c>
      <c r="L23" s="33">
        <f t="shared" si="2"/>
        <v>0</v>
      </c>
      <c r="M23" s="33" t="str">
        <f t="shared" si="3"/>
        <v>WITH BAL</v>
      </c>
    </row>
    <row r="24" spans="1:13" ht="15.75" x14ac:dyDescent="0.25">
      <c r="A24" s="33">
        <f>'LEARNERS DETAILS'!A20</f>
        <v>19</v>
      </c>
      <c r="B24" s="33">
        <f>'LEARNERS DETAILS'!B20</f>
        <v>0</v>
      </c>
      <c r="C24" s="33">
        <f>'LEARNERS DETAILS'!C20</f>
        <v>0</v>
      </c>
      <c r="D24" s="33">
        <f>'LEARNERS DETAILS'!D20</f>
        <v>0</v>
      </c>
      <c r="E24" s="69">
        <f>'LEARNERS DETAILS'!F20</f>
        <v>0</v>
      </c>
      <c r="F24" s="33" t="b">
        <f t="shared" si="4"/>
        <v>0</v>
      </c>
      <c r="G24" s="33"/>
      <c r="H24" s="33"/>
      <c r="I24" s="33"/>
      <c r="J24" s="33"/>
      <c r="K24" s="33">
        <f t="shared" si="1"/>
        <v>0</v>
      </c>
      <c r="L24" s="33">
        <f t="shared" si="2"/>
        <v>0</v>
      </c>
      <c r="M24" s="33" t="str">
        <f t="shared" si="3"/>
        <v>WITH BAL</v>
      </c>
    </row>
    <row r="25" spans="1:13" ht="15.75" x14ac:dyDescent="0.25">
      <c r="A25" s="33">
        <f>'LEARNERS DETAILS'!A21</f>
        <v>20</v>
      </c>
      <c r="B25" s="33">
        <f>'LEARNERS DETAILS'!B21</f>
        <v>0</v>
      </c>
      <c r="C25" s="33">
        <f>'LEARNERS DETAILS'!C21</f>
        <v>0</v>
      </c>
      <c r="D25" s="33">
        <f>'LEARNERS DETAILS'!D21</f>
        <v>0</v>
      </c>
      <c r="E25" s="69">
        <f>'LEARNERS DETAILS'!F21</f>
        <v>0</v>
      </c>
      <c r="F25" s="33" t="b">
        <f t="shared" si="4"/>
        <v>0</v>
      </c>
      <c r="G25" s="33"/>
      <c r="H25" s="33"/>
      <c r="I25" s="33"/>
      <c r="J25" s="33"/>
      <c r="K25" s="33">
        <f t="shared" si="1"/>
        <v>0</v>
      </c>
      <c r="L25" s="33">
        <f t="shared" si="2"/>
        <v>0</v>
      </c>
      <c r="M25" s="33" t="str">
        <f t="shared" si="3"/>
        <v>WITH BAL</v>
      </c>
    </row>
    <row r="26" spans="1:13" ht="15.75" x14ac:dyDescent="0.25">
      <c r="A26" s="33">
        <f>'LEARNERS DETAILS'!A22</f>
        <v>21</v>
      </c>
      <c r="B26" s="33">
        <f>'LEARNERS DETAILS'!B22</f>
        <v>0</v>
      </c>
      <c r="C26" s="33">
        <f>'LEARNERS DETAILS'!C22</f>
        <v>0</v>
      </c>
      <c r="D26" s="33">
        <f>'LEARNERS DETAILS'!D22</f>
        <v>0</v>
      </c>
      <c r="E26" s="69">
        <f>'LEARNERS DETAILS'!F22</f>
        <v>0</v>
      </c>
      <c r="F26" s="33" t="b">
        <f t="shared" si="4"/>
        <v>0</v>
      </c>
      <c r="G26" s="33"/>
      <c r="H26" s="33"/>
      <c r="I26" s="33"/>
      <c r="J26" s="33"/>
      <c r="K26" s="33">
        <f t="shared" si="1"/>
        <v>0</v>
      </c>
      <c r="L26" s="33">
        <f t="shared" si="2"/>
        <v>0</v>
      </c>
      <c r="M26" s="33" t="str">
        <f t="shared" si="3"/>
        <v>WITH BAL</v>
      </c>
    </row>
    <row r="27" spans="1:13" ht="15.75" x14ac:dyDescent="0.25">
      <c r="A27" s="33">
        <f>'LEARNERS DETAILS'!A23</f>
        <v>22</v>
      </c>
      <c r="B27" s="33">
        <f>'LEARNERS DETAILS'!B23</f>
        <v>0</v>
      </c>
      <c r="C27" s="33">
        <f>'LEARNERS DETAILS'!C23</f>
        <v>0</v>
      </c>
      <c r="D27" s="33">
        <f>'LEARNERS DETAILS'!D23</f>
        <v>0</v>
      </c>
      <c r="E27" s="69">
        <f>'LEARNERS DETAILS'!F23</f>
        <v>0</v>
      </c>
      <c r="F27" s="33" t="b">
        <f t="shared" si="4"/>
        <v>0</v>
      </c>
      <c r="G27" s="33"/>
      <c r="H27" s="33"/>
      <c r="I27" s="33"/>
      <c r="J27" s="33"/>
      <c r="K27" s="33">
        <f t="shared" si="1"/>
        <v>0</v>
      </c>
      <c r="L27" s="33">
        <f t="shared" si="2"/>
        <v>0</v>
      </c>
      <c r="M27" s="33" t="str">
        <f t="shared" si="3"/>
        <v>WITH BAL</v>
      </c>
    </row>
    <row r="28" spans="1:13" ht="15.75" x14ac:dyDescent="0.25">
      <c r="A28" s="33">
        <f>'LEARNERS DETAILS'!A24</f>
        <v>23</v>
      </c>
      <c r="B28" s="33">
        <f>'LEARNERS DETAILS'!B24</f>
        <v>0</v>
      </c>
      <c r="C28" s="33">
        <f>'LEARNERS DETAILS'!C24</f>
        <v>0</v>
      </c>
      <c r="D28" s="33">
        <f>'LEARNERS DETAILS'!D24</f>
        <v>0</v>
      </c>
      <c r="E28" s="69">
        <f>'LEARNERS DETAILS'!F24</f>
        <v>0</v>
      </c>
      <c r="F28" s="33" t="b">
        <f t="shared" si="4"/>
        <v>0</v>
      </c>
      <c r="G28" s="33"/>
      <c r="H28" s="33"/>
      <c r="I28" s="33"/>
      <c r="J28" s="33"/>
      <c r="K28" s="33">
        <f t="shared" si="1"/>
        <v>0</v>
      </c>
      <c r="L28" s="33">
        <f t="shared" si="2"/>
        <v>0</v>
      </c>
      <c r="M28" s="33" t="str">
        <f t="shared" si="3"/>
        <v>WITH BAL</v>
      </c>
    </row>
    <row r="29" spans="1:13" ht="15.75" x14ac:dyDescent="0.25">
      <c r="A29" s="33">
        <f>'LEARNERS DETAILS'!A25</f>
        <v>24</v>
      </c>
      <c r="B29" s="33">
        <f>'LEARNERS DETAILS'!B25</f>
        <v>0</v>
      </c>
      <c r="C29" s="33">
        <f>'LEARNERS DETAILS'!C25</f>
        <v>0</v>
      </c>
      <c r="D29" s="33">
        <f>'LEARNERS DETAILS'!D25</f>
        <v>0</v>
      </c>
      <c r="E29" s="69">
        <f>'LEARNERS DETAILS'!F25</f>
        <v>0</v>
      </c>
      <c r="F29" s="33" t="b">
        <f t="shared" si="4"/>
        <v>0</v>
      </c>
      <c r="G29" s="33"/>
      <c r="H29" s="33"/>
      <c r="I29" s="33"/>
      <c r="J29" s="33"/>
      <c r="K29" s="33">
        <f t="shared" si="1"/>
        <v>0</v>
      </c>
      <c r="L29" s="33">
        <f t="shared" si="2"/>
        <v>0</v>
      </c>
      <c r="M29" s="33" t="str">
        <f t="shared" si="3"/>
        <v>WITH BAL</v>
      </c>
    </row>
    <row r="30" spans="1:13" ht="15.75" x14ac:dyDescent="0.25">
      <c r="A30" s="33">
        <f>'LEARNERS DETAILS'!A26</f>
        <v>25</v>
      </c>
      <c r="B30" s="33">
        <f>'LEARNERS DETAILS'!B26</f>
        <v>0</v>
      </c>
      <c r="C30" s="33">
        <f>'LEARNERS DETAILS'!C26</f>
        <v>0</v>
      </c>
      <c r="D30" s="33">
        <f>'LEARNERS DETAILS'!D26</f>
        <v>0</v>
      </c>
      <c r="E30" s="69">
        <f>'LEARNERS DETAILS'!F26</f>
        <v>0</v>
      </c>
      <c r="F30" s="33" t="b">
        <f t="shared" si="4"/>
        <v>0</v>
      </c>
      <c r="G30" s="33"/>
      <c r="H30" s="33"/>
      <c r="I30" s="33"/>
      <c r="J30" s="33"/>
      <c r="K30" s="33">
        <f t="shared" si="1"/>
        <v>0</v>
      </c>
      <c r="L30" s="33">
        <f t="shared" si="2"/>
        <v>0</v>
      </c>
      <c r="M30" s="33" t="str">
        <f t="shared" si="3"/>
        <v>WITH BAL</v>
      </c>
    </row>
    <row r="31" spans="1:13" ht="15.75" x14ac:dyDescent="0.25">
      <c r="A31" s="33">
        <f>'LEARNERS DETAILS'!A27</f>
        <v>26</v>
      </c>
      <c r="B31" s="33">
        <f>'LEARNERS DETAILS'!B27</f>
        <v>0</v>
      </c>
      <c r="C31" s="33">
        <f>'LEARNERS DETAILS'!C27</f>
        <v>0</v>
      </c>
      <c r="D31" s="33">
        <f>'LEARNERS DETAILS'!D27</f>
        <v>0</v>
      </c>
      <c r="E31" s="69">
        <f>'LEARNERS DETAILS'!F27</f>
        <v>0</v>
      </c>
      <c r="F31" s="33" t="b">
        <f t="shared" si="4"/>
        <v>0</v>
      </c>
      <c r="G31" s="33"/>
      <c r="H31" s="33"/>
      <c r="I31" s="33"/>
      <c r="J31" s="33"/>
      <c r="K31" s="33">
        <f t="shared" si="1"/>
        <v>0</v>
      </c>
      <c r="L31" s="33">
        <f t="shared" si="2"/>
        <v>0</v>
      </c>
      <c r="M31" s="33" t="str">
        <f t="shared" si="3"/>
        <v>WITH BAL</v>
      </c>
    </row>
    <row r="32" spans="1:13" ht="15.75" x14ac:dyDescent="0.25">
      <c r="A32" s="33">
        <f>'LEARNERS DETAILS'!A28</f>
        <v>27</v>
      </c>
      <c r="B32" s="33">
        <f>'LEARNERS DETAILS'!B28</f>
        <v>0</v>
      </c>
      <c r="C32" s="33">
        <f>'LEARNERS DETAILS'!C28</f>
        <v>0</v>
      </c>
      <c r="D32" s="33">
        <f>'LEARNERS DETAILS'!D28</f>
        <v>0</v>
      </c>
      <c r="E32" s="69">
        <f>'LEARNERS DETAILS'!F28</f>
        <v>0</v>
      </c>
      <c r="F32" s="33" t="b">
        <f t="shared" si="4"/>
        <v>0</v>
      </c>
      <c r="G32" s="33"/>
      <c r="H32" s="33"/>
      <c r="I32" s="33"/>
      <c r="J32" s="33"/>
      <c r="K32" s="33">
        <f t="shared" si="1"/>
        <v>0</v>
      </c>
      <c r="L32" s="33">
        <f t="shared" si="2"/>
        <v>0</v>
      </c>
      <c r="M32" s="33" t="str">
        <f t="shared" si="3"/>
        <v>WITH BAL</v>
      </c>
    </row>
    <row r="33" spans="1:13" ht="15.75" x14ac:dyDescent="0.25">
      <c r="A33" s="33">
        <f>'LEARNERS DETAILS'!A29</f>
        <v>28</v>
      </c>
      <c r="B33" s="33">
        <f>'LEARNERS DETAILS'!B29</f>
        <v>0</v>
      </c>
      <c r="C33" s="33">
        <f>'LEARNERS DETAILS'!C29</f>
        <v>0</v>
      </c>
      <c r="D33" s="33">
        <f>'LEARNERS DETAILS'!D29</f>
        <v>0</v>
      </c>
      <c r="E33" s="69">
        <f>'LEARNERS DETAILS'!F29</f>
        <v>0</v>
      </c>
      <c r="F33" s="33" t="b">
        <f t="shared" si="4"/>
        <v>0</v>
      </c>
      <c r="G33" s="33"/>
      <c r="H33" s="33"/>
      <c r="I33" s="33"/>
      <c r="J33" s="33"/>
      <c r="K33" s="33">
        <f t="shared" si="1"/>
        <v>0</v>
      </c>
      <c r="L33" s="33">
        <f t="shared" si="2"/>
        <v>0</v>
      </c>
      <c r="M33" s="33" t="str">
        <f t="shared" si="3"/>
        <v>WITH BAL</v>
      </c>
    </row>
    <row r="34" spans="1:13" ht="15.75" x14ac:dyDescent="0.25">
      <c r="A34" s="33">
        <f>'LEARNERS DETAILS'!A30</f>
        <v>29</v>
      </c>
      <c r="B34" s="33">
        <f>'LEARNERS DETAILS'!B30</f>
        <v>0</v>
      </c>
      <c r="C34" s="33">
        <f>'LEARNERS DETAILS'!C30</f>
        <v>0</v>
      </c>
      <c r="D34" s="33">
        <f>'LEARNERS DETAILS'!D30</f>
        <v>0</v>
      </c>
      <c r="E34" s="69">
        <f>'LEARNERS DETAILS'!F30</f>
        <v>0</v>
      </c>
      <c r="F34" s="33" t="b">
        <f t="shared" si="4"/>
        <v>0</v>
      </c>
      <c r="G34" s="33"/>
      <c r="H34" s="33"/>
      <c r="I34" s="33"/>
      <c r="J34" s="33"/>
      <c r="K34" s="33">
        <f t="shared" si="1"/>
        <v>0</v>
      </c>
      <c r="L34" s="33">
        <f t="shared" si="2"/>
        <v>0</v>
      </c>
      <c r="M34" s="33" t="str">
        <f t="shared" si="3"/>
        <v>WITH BAL</v>
      </c>
    </row>
    <row r="35" spans="1:13" ht="15.75" x14ac:dyDescent="0.25">
      <c r="A35" s="33">
        <f>'LEARNERS DETAILS'!A31</f>
        <v>30</v>
      </c>
      <c r="B35" s="33">
        <f>'LEARNERS DETAILS'!B31</f>
        <v>0</v>
      </c>
      <c r="C35" s="33">
        <f>'LEARNERS DETAILS'!C31</f>
        <v>0</v>
      </c>
      <c r="D35" s="33">
        <f>'LEARNERS DETAILS'!D31</f>
        <v>0</v>
      </c>
      <c r="E35" s="69">
        <f>'LEARNERS DETAILS'!F31</f>
        <v>0</v>
      </c>
      <c r="F35" s="33" t="b">
        <f t="shared" si="4"/>
        <v>0</v>
      </c>
      <c r="G35" s="33"/>
      <c r="H35" s="33"/>
      <c r="I35" s="33"/>
      <c r="J35" s="33"/>
      <c r="K35" s="33">
        <f t="shared" si="1"/>
        <v>0</v>
      </c>
      <c r="L35" s="33">
        <f t="shared" si="2"/>
        <v>0</v>
      </c>
      <c r="M35" s="33" t="str">
        <f t="shared" si="3"/>
        <v>WITH BAL</v>
      </c>
    </row>
    <row r="36" spans="1:13" ht="15.75" x14ac:dyDescent="0.25">
      <c r="A36" s="33">
        <f>'LEARNERS DETAILS'!A32</f>
        <v>31</v>
      </c>
      <c r="B36" s="33">
        <f>'LEARNERS DETAILS'!B32</f>
        <v>0</v>
      </c>
      <c r="C36" s="33">
        <f>'LEARNERS DETAILS'!C32</f>
        <v>0</v>
      </c>
      <c r="D36" s="33">
        <f>'LEARNERS DETAILS'!D32</f>
        <v>0</v>
      </c>
      <c r="E36" s="69">
        <f>'LEARNERS DETAILS'!F32</f>
        <v>0</v>
      </c>
      <c r="F36" s="33" t="b">
        <f t="shared" si="4"/>
        <v>0</v>
      </c>
      <c r="G36" s="33"/>
      <c r="H36" s="33"/>
      <c r="I36" s="33"/>
      <c r="J36" s="33"/>
      <c r="K36" s="33">
        <f t="shared" si="1"/>
        <v>0</v>
      </c>
      <c r="L36" s="33">
        <f t="shared" si="2"/>
        <v>0</v>
      </c>
      <c r="M36" s="33" t="str">
        <f t="shared" si="3"/>
        <v>WITH BAL</v>
      </c>
    </row>
    <row r="37" spans="1:13" ht="15.75" x14ac:dyDescent="0.25">
      <c r="A37" s="33">
        <f>'LEARNERS DETAILS'!A33</f>
        <v>32</v>
      </c>
      <c r="B37" s="33">
        <f>'LEARNERS DETAILS'!B33</f>
        <v>0</v>
      </c>
      <c r="C37" s="33">
        <f>'LEARNERS DETAILS'!C33</f>
        <v>0</v>
      </c>
      <c r="D37" s="33">
        <f>'LEARNERS DETAILS'!D33</f>
        <v>0</v>
      </c>
      <c r="E37" s="69">
        <f>'LEARNERS DETAILS'!F33</f>
        <v>0</v>
      </c>
      <c r="F37" s="33" t="b">
        <f t="shared" si="4"/>
        <v>0</v>
      </c>
      <c r="G37" s="33"/>
      <c r="H37" s="33"/>
      <c r="I37" s="33"/>
      <c r="J37" s="33"/>
      <c r="K37" s="33">
        <f t="shared" si="1"/>
        <v>0</v>
      </c>
      <c r="L37" s="33">
        <f t="shared" si="2"/>
        <v>0</v>
      </c>
      <c r="M37" s="33" t="str">
        <f t="shared" si="3"/>
        <v>WITH BAL</v>
      </c>
    </row>
    <row r="38" spans="1:13" ht="15.75" x14ac:dyDescent="0.25">
      <c r="A38" s="33">
        <f>'LEARNERS DETAILS'!A34</f>
        <v>33</v>
      </c>
      <c r="B38" s="33">
        <f>'LEARNERS DETAILS'!B34</f>
        <v>0</v>
      </c>
      <c r="C38" s="33">
        <f>'LEARNERS DETAILS'!C34</f>
        <v>0</v>
      </c>
      <c r="D38" s="33">
        <f>'LEARNERS DETAILS'!D34</f>
        <v>0</v>
      </c>
      <c r="E38" s="69">
        <f>'LEARNERS DETAILS'!F34</f>
        <v>0</v>
      </c>
      <c r="F38" s="33" t="b">
        <f t="shared" si="4"/>
        <v>0</v>
      </c>
      <c r="G38" s="33"/>
      <c r="H38" s="33"/>
      <c r="I38" s="33"/>
      <c r="J38" s="33"/>
      <c r="K38" s="33">
        <f t="shared" si="1"/>
        <v>0</v>
      </c>
      <c r="L38" s="33">
        <f t="shared" si="2"/>
        <v>0</v>
      </c>
      <c r="M38" s="33" t="str">
        <f t="shared" si="3"/>
        <v>WITH BAL</v>
      </c>
    </row>
    <row r="39" spans="1:13" ht="15.75" x14ac:dyDescent="0.25">
      <c r="A39" s="33">
        <f>'LEARNERS DETAILS'!A35</f>
        <v>34</v>
      </c>
      <c r="B39" s="33">
        <f>'LEARNERS DETAILS'!B35</f>
        <v>0</v>
      </c>
      <c r="C39" s="33">
        <f>'LEARNERS DETAILS'!C35</f>
        <v>0</v>
      </c>
      <c r="D39" s="33">
        <f>'LEARNERS DETAILS'!D35</f>
        <v>0</v>
      </c>
      <c r="E39" s="69">
        <f>'LEARNERS DETAILS'!F35</f>
        <v>0</v>
      </c>
      <c r="F39" s="33" t="b">
        <f t="shared" si="4"/>
        <v>0</v>
      </c>
      <c r="G39" s="33"/>
      <c r="H39" s="33"/>
      <c r="I39" s="33"/>
      <c r="J39" s="33"/>
      <c r="K39" s="33">
        <f t="shared" si="1"/>
        <v>0</v>
      </c>
      <c r="L39" s="33">
        <f t="shared" si="2"/>
        <v>0</v>
      </c>
      <c r="M39" s="33" t="str">
        <f t="shared" si="3"/>
        <v>WITH BAL</v>
      </c>
    </row>
    <row r="40" spans="1:13" ht="15.75" x14ac:dyDescent="0.25">
      <c r="A40" s="33">
        <f>'LEARNERS DETAILS'!A36</f>
        <v>35</v>
      </c>
      <c r="B40" s="33">
        <f>'LEARNERS DETAILS'!B36</f>
        <v>0</v>
      </c>
      <c r="C40" s="33">
        <f>'LEARNERS DETAILS'!C36</f>
        <v>0</v>
      </c>
      <c r="D40" s="33">
        <f>'LEARNERS DETAILS'!D36</f>
        <v>0</v>
      </c>
      <c r="E40" s="69">
        <f>'LEARNERS DETAILS'!F36</f>
        <v>0</v>
      </c>
      <c r="F40" s="33" t="b">
        <f t="shared" si="4"/>
        <v>0</v>
      </c>
      <c r="G40" s="33"/>
      <c r="H40" s="33"/>
      <c r="I40" s="33"/>
      <c r="J40" s="33"/>
      <c r="K40" s="33">
        <f t="shared" si="1"/>
        <v>0</v>
      </c>
      <c r="L40" s="33">
        <f t="shared" si="2"/>
        <v>0</v>
      </c>
      <c r="M40" s="33" t="str">
        <f t="shared" si="3"/>
        <v>WITH BAL</v>
      </c>
    </row>
    <row r="41" spans="1:13" ht="15.75" x14ac:dyDescent="0.25">
      <c r="A41" s="33">
        <f>'LEARNERS DETAILS'!A37</f>
        <v>36</v>
      </c>
      <c r="B41" s="33">
        <f>'LEARNERS DETAILS'!B37</f>
        <v>0</v>
      </c>
      <c r="C41" s="33">
        <f>'LEARNERS DETAILS'!C37</f>
        <v>0</v>
      </c>
      <c r="D41" s="33">
        <f>'LEARNERS DETAILS'!D37</f>
        <v>0</v>
      </c>
      <c r="E41" s="69">
        <f>'LEARNERS DETAILS'!F37</f>
        <v>0</v>
      </c>
      <c r="F41" s="33" t="b">
        <f t="shared" si="4"/>
        <v>0</v>
      </c>
      <c r="G41" s="33"/>
      <c r="H41" s="33"/>
      <c r="I41" s="33"/>
      <c r="J41" s="33"/>
      <c r="K41" s="33">
        <f t="shared" si="1"/>
        <v>0</v>
      </c>
      <c r="L41" s="33">
        <f t="shared" si="2"/>
        <v>0</v>
      </c>
      <c r="M41" s="33" t="str">
        <f t="shared" si="3"/>
        <v>WITH BAL</v>
      </c>
    </row>
    <row r="42" spans="1:13" ht="15.75" x14ac:dyDescent="0.25">
      <c r="A42" s="33">
        <f>'LEARNERS DETAILS'!A38</f>
        <v>37</v>
      </c>
      <c r="B42" s="33">
        <f>'LEARNERS DETAILS'!B38</f>
        <v>0</v>
      </c>
      <c r="C42" s="33">
        <f>'LEARNERS DETAILS'!C38</f>
        <v>0</v>
      </c>
      <c r="D42" s="33">
        <f>'LEARNERS DETAILS'!D38</f>
        <v>0</v>
      </c>
      <c r="E42" s="69">
        <f>'LEARNERS DETAILS'!F38</f>
        <v>0</v>
      </c>
      <c r="F42" s="33" t="b">
        <f t="shared" si="4"/>
        <v>0</v>
      </c>
      <c r="G42" s="33"/>
      <c r="H42" s="33"/>
      <c r="I42" s="33"/>
      <c r="J42" s="33"/>
      <c r="K42" s="33">
        <f t="shared" si="1"/>
        <v>0</v>
      </c>
      <c r="L42" s="33">
        <f t="shared" si="2"/>
        <v>0</v>
      </c>
      <c r="M42" s="33" t="str">
        <f t="shared" si="3"/>
        <v>WITH BAL</v>
      </c>
    </row>
    <row r="43" spans="1:13" ht="15.75" x14ac:dyDescent="0.25">
      <c r="A43" s="33">
        <f>'LEARNERS DETAILS'!A39</f>
        <v>38</v>
      </c>
      <c r="B43" s="33">
        <f>'LEARNERS DETAILS'!B39</f>
        <v>0</v>
      </c>
      <c r="C43" s="33">
        <f>'LEARNERS DETAILS'!C39</f>
        <v>0</v>
      </c>
      <c r="D43" s="33">
        <f>'LEARNERS DETAILS'!D39</f>
        <v>0</v>
      </c>
      <c r="E43" s="69">
        <f>'LEARNERS DETAILS'!F39</f>
        <v>0</v>
      </c>
      <c r="F43" s="33" t="b">
        <f t="shared" si="4"/>
        <v>0</v>
      </c>
      <c r="G43" s="33"/>
      <c r="H43" s="33"/>
      <c r="I43" s="33"/>
      <c r="J43" s="33"/>
      <c r="K43" s="33">
        <f t="shared" si="1"/>
        <v>0</v>
      </c>
      <c r="L43" s="33">
        <f t="shared" si="2"/>
        <v>0</v>
      </c>
      <c r="M43" s="33" t="str">
        <f t="shared" si="3"/>
        <v>WITH BAL</v>
      </c>
    </row>
    <row r="44" spans="1:13" ht="15.75" x14ac:dyDescent="0.25">
      <c r="A44" s="33">
        <f>'LEARNERS DETAILS'!A40</f>
        <v>39</v>
      </c>
      <c r="B44" s="33">
        <f>'LEARNERS DETAILS'!B40</f>
        <v>0</v>
      </c>
      <c r="C44" s="33">
        <f>'LEARNERS DETAILS'!C40</f>
        <v>0</v>
      </c>
      <c r="D44" s="33">
        <f>'LEARNERS DETAILS'!D40</f>
        <v>0</v>
      </c>
      <c r="E44" s="69">
        <f>'LEARNERS DETAILS'!F40</f>
        <v>0</v>
      </c>
      <c r="F44" s="33" t="b">
        <f t="shared" si="4"/>
        <v>0</v>
      </c>
      <c r="G44" s="33"/>
      <c r="H44" s="33"/>
      <c r="I44" s="33"/>
      <c r="J44" s="33"/>
      <c r="K44" s="33">
        <f t="shared" si="1"/>
        <v>0</v>
      </c>
      <c r="L44" s="33">
        <f t="shared" si="2"/>
        <v>0</v>
      </c>
      <c r="M44" s="33" t="str">
        <f t="shared" si="3"/>
        <v>WITH BAL</v>
      </c>
    </row>
    <row r="45" spans="1:13" ht="15.75" x14ac:dyDescent="0.25">
      <c r="A45" s="33">
        <f>'LEARNERS DETAILS'!A41</f>
        <v>40</v>
      </c>
      <c r="B45" s="33">
        <f>'LEARNERS DETAILS'!B41</f>
        <v>0</v>
      </c>
      <c r="C45" s="33">
        <f>'LEARNERS DETAILS'!C41</f>
        <v>0</v>
      </c>
      <c r="D45" s="33">
        <f>'LEARNERS DETAILS'!D41</f>
        <v>0</v>
      </c>
      <c r="E45" s="69">
        <f>'LEARNERS DETAILS'!F41</f>
        <v>0</v>
      </c>
      <c r="F45" s="33" t="b">
        <f t="shared" si="4"/>
        <v>0</v>
      </c>
      <c r="G45" s="33"/>
      <c r="H45" s="33"/>
      <c r="I45" s="33"/>
      <c r="J45" s="33"/>
      <c r="K45" s="33">
        <f t="shared" si="1"/>
        <v>0</v>
      </c>
      <c r="L45" s="33">
        <f t="shared" si="2"/>
        <v>0</v>
      </c>
      <c r="M45" s="33" t="str">
        <f t="shared" si="3"/>
        <v>WITH BAL</v>
      </c>
    </row>
    <row r="46" spans="1:13" ht="15.75" x14ac:dyDescent="0.25">
      <c r="A46" s="33">
        <f>'LEARNERS DETAILS'!A42</f>
        <v>41</v>
      </c>
      <c r="B46" s="33">
        <f>'LEARNERS DETAILS'!B42</f>
        <v>0</v>
      </c>
      <c r="C46" s="33">
        <f>'LEARNERS DETAILS'!C42</f>
        <v>0</v>
      </c>
      <c r="D46" s="33">
        <f>'LEARNERS DETAILS'!D42</f>
        <v>0</v>
      </c>
      <c r="E46" s="69">
        <f>'LEARNERS DETAILS'!F42</f>
        <v>0</v>
      </c>
      <c r="F46" s="33" t="b">
        <f t="shared" si="4"/>
        <v>0</v>
      </c>
      <c r="G46" s="33"/>
      <c r="H46" s="33"/>
      <c r="I46" s="33"/>
      <c r="J46" s="33"/>
      <c r="K46" s="33">
        <f t="shared" si="1"/>
        <v>0</v>
      </c>
      <c r="L46" s="33">
        <f t="shared" si="2"/>
        <v>0</v>
      </c>
      <c r="M46" s="33" t="str">
        <f t="shared" si="3"/>
        <v>WITH BAL</v>
      </c>
    </row>
    <row r="47" spans="1:13" ht="15.75" x14ac:dyDescent="0.25">
      <c r="A47" s="33">
        <f>'LEARNERS DETAILS'!A43</f>
        <v>42</v>
      </c>
      <c r="B47" s="33">
        <f>'LEARNERS DETAILS'!B43</f>
        <v>0</v>
      </c>
      <c r="C47" s="33">
        <f>'LEARNERS DETAILS'!C43</f>
        <v>0</v>
      </c>
      <c r="D47" s="33">
        <f>'LEARNERS DETAILS'!D43</f>
        <v>0</v>
      </c>
      <c r="E47" s="69">
        <f>'LEARNERS DETAILS'!F43</f>
        <v>0</v>
      </c>
      <c r="F47" s="33" t="b">
        <f t="shared" si="4"/>
        <v>0</v>
      </c>
      <c r="G47" s="33"/>
      <c r="H47" s="33"/>
      <c r="I47" s="33"/>
      <c r="J47" s="33"/>
      <c r="K47" s="33">
        <f t="shared" si="1"/>
        <v>0</v>
      </c>
      <c r="L47" s="33">
        <f t="shared" si="2"/>
        <v>0</v>
      </c>
      <c r="M47" s="33" t="str">
        <f t="shared" si="3"/>
        <v>WITH BAL</v>
      </c>
    </row>
    <row r="48" spans="1:13" ht="15.75" x14ac:dyDescent="0.25">
      <c r="A48" s="33">
        <f>'LEARNERS DETAILS'!A44</f>
        <v>43</v>
      </c>
      <c r="B48" s="33">
        <f>'LEARNERS DETAILS'!B44</f>
        <v>0</v>
      </c>
      <c r="C48" s="33">
        <f>'LEARNERS DETAILS'!C44</f>
        <v>0</v>
      </c>
      <c r="D48" s="33">
        <f>'LEARNERS DETAILS'!D44</f>
        <v>0</v>
      </c>
      <c r="E48" s="69">
        <f>'LEARNERS DETAILS'!F44</f>
        <v>0</v>
      </c>
      <c r="F48" s="33" t="b">
        <f t="shared" si="4"/>
        <v>0</v>
      </c>
      <c r="G48" s="33"/>
      <c r="H48" s="33"/>
      <c r="I48" s="33"/>
      <c r="J48" s="33"/>
      <c r="K48" s="33">
        <f t="shared" si="1"/>
        <v>0</v>
      </c>
      <c r="L48" s="33">
        <f t="shared" si="2"/>
        <v>0</v>
      </c>
      <c r="M48" s="33" t="str">
        <f t="shared" si="3"/>
        <v>WITH BAL</v>
      </c>
    </row>
    <row r="49" spans="1:13" ht="15.75" x14ac:dyDescent="0.25">
      <c r="A49" s="33">
        <f>'LEARNERS DETAILS'!A45</f>
        <v>44</v>
      </c>
      <c r="B49" s="33">
        <f>'LEARNERS DETAILS'!B45</f>
        <v>0</v>
      </c>
      <c r="C49" s="33">
        <f>'LEARNERS DETAILS'!C45</f>
        <v>0</v>
      </c>
      <c r="D49" s="33">
        <f>'LEARNERS DETAILS'!D45</f>
        <v>0</v>
      </c>
      <c r="E49" s="69">
        <f>'LEARNERS DETAILS'!F45</f>
        <v>0</v>
      </c>
      <c r="F49" s="33" t="b">
        <f t="shared" si="4"/>
        <v>0</v>
      </c>
      <c r="G49" s="33"/>
      <c r="H49" s="33"/>
      <c r="I49" s="33"/>
      <c r="J49" s="33"/>
      <c r="K49" s="33">
        <f t="shared" si="1"/>
        <v>0</v>
      </c>
      <c r="L49" s="33">
        <f t="shared" si="2"/>
        <v>0</v>
      </c>
      <c r="M49" s="33" t="str">
        <f t="shared" si="3"/>
        <v>WITH BAL</v>
      </c>
    </row>
    <row r="50" spans="1:13" ht="15.75" x14ac:dyDescent="0.25">
      <c r="A50" s="33">
        <f>'LEARNERS DETAILS'!A46</f>
        <v>45</v>
      </c>
      <c r="B50" s="33">
        <f>'LEARNERS DETAILS'!B46</f>
        <v>0</v>
      </c>
      <c r="C50" s="33">
        <f>'LEARNERS DETAILS'!C46</f>
        <v>0</v>
      </c>
      <c r="D50" s="33">
        <f>'LEARNERS DETAILS'!D46</f>
        <v>0</v>
      </c>
      <c r="E50" s="69">
        <f>'LEARNERS DETAILS'!F46</f>
        <v>0</v>
      </c>
      <c r="F50" s="33" t="b">
        <f t="shared" si="4"/>
        <v>0</v>
      </c>
      <c r="G50" s="33"/>
      <c r="H50" s="33"/>
      <c r="I50" s="33"/>
      <c r="J50" s="33"/>
      <c r="K50" s="33">
        <f t="shared" si="1"/>
        <v>0</v>
      </c>
      <c r="L50" s="33">
        <f t="shared" si="2"/>
        <v>0</v>
      </c>
      <c r="M50" s="33" t="str">
        <f t="shared" si="3"/>
        <v>WITH BAL</v>
      </c>
    </row>
    <row r="51" spans="1:13" ht="15.75" x14ac:dyDescent="0.25">
      <c r="A51" s="33">
        <f>'LEARNERS DETAILS'!A47</f>
        <v>46</v>
      </c>
      <c r="B51" s="33">
        <f>'LEARNERS DETAILS'!B47</f>
        <v>0</v>
      </c>
      <c r="C51" s="33">
        <f>'LEARNERS DETAILS'!C47</f>
        <v>0</v>
      </c>
      <c r="D51" s="33">
        <f>'LEARNERS DETAILS'!D47</f>
        <v>0</v>
      </c>
      <c r="E51" s="69">
        <f>'LEARNERS DETAILS'!F47</f>
        <v>0</v>
      </c>
      <c r="F51" s="33" t="b">
        <f t="shared" si="4"/>
        <v>0</v>
      </c>
      <c r="G51" s="33"/>
      <c r="H51" s="33"/>
      <c r="I51" s="33"/>
      <c r="J51" s="33"/>
      <c r="K51" s="33">
        <f t="shared" si="1"/>
        <v>0</v>
      </c>
      <c r="L51" s="33">
        <f t="shared" si="2"/>
        <v>0</v>
      </c>
      <c r="M51" s="33" t="str">
        <f t="shared" si="3"/>
        <v>WITH BAL</v>
      </c>
    </row>
    <row r="52" spans="1:13" ht="15.75" x14ac:dyDescent="0.25">
      <c r="A52" s="33">
        <f>'LEARNERS DETAILS'!A48</f>
        <v>47</v>
      </c>
      <c r="B52" s="33">
        <f>'LEARNERS DETAILS'!B48</f>
        <v>0</v>
      </c>
      <c r="C52" s="33">
        <f>'LEARNERS DETAILS'!C48</f>
        <v>0</v>
      </c>
      <c r="D52" s="33">
        <f>'LEARNERS DETAILS'!D48</f>
        <v>0</v>
      </c>
      <c r="E52" s="69">
        <f>'LEARNERS DETAILS'!F48</f>
        <v>0</v>
      </c>
      <c r="F52" s="33" t="b">
        <f t="shared" si="4"/>
        <v>0</v>
      </c>
      <c r="G52" s="33"/>
      <c r="H52" s="33"/>
      <c r="I52" s="33"/>
      <c r="J52" s="33"/>
      <c r="K52" s="33">
        <f t="shared" si="1"/>
        <v>0</v>
      </c>
      <c r="L52" s="33">
        <f t="shared" si="2"/>
        <v>0</v>
      </c>
      <c r="M52" s="33" t="str">
        <f t="shared" si="3"/>
        <v>WITH BAL</v>
      </c>
    </row>
    <row r="53" spans="1:13" ht="15.75" x14ac:dyDescent="0.25">
      <c r="A53" s="33">
        <f>'LEARNERS DETAILS'!A49</f>
        <v>48</v>
      </c>
      <c r="B53" s="33">
        <f>'LEARNERS DETAILS'!B49</f>
        <v>0</v>
      </c>
      <c r="C53" s="33">
        <f>'LEARNERS DETAILS'!C49</f>
        <v>0</v>
      </c>
      <c r="D53" s="33">
        <f>'LEARNERS DETAILS'!D49</f>
        <v>0</v>
      </c>
      <c r="E53" s="69">
        <f>'LEARNERS DETAILS'!F49</f>
        <v>0</v>
      </c>
      <c r="F53" s="33" t="b">
        <f t="shared" si="4"/>
        <v>0</v>
      </c>
      <c r="G53" s="33"/>
      <c r="H53" s="33"/>
      <c r="I53" s="33"/>
      <c r="J53" s="33"/>
      <c r="K53" s="33">
        <f t="shared" si="1"/>
        <v>0</v>
      </c>
      <c r="L53" s="33">
        <f t="shared" si="2"/>
        <v>0</v>
      </c>
      <c r="M53" s="33" t="str">
        <f t="shared" si="3"/>
        <v>WITH BAL</v>
      </c>
    </row>
    <row r="54" spans="1:13" ht="15.75" x14ac:dyDescent="0.25">
      <c r="A54" s="33">
        <f>'LEARNERS DETAILS'!A50</f>
        <v>49</v>
      </c>
      <c r="B54" s="33">
        <f>'LEARNERS DETAILS'!B50</f>
        <v>0</v>
      </c>
      <c r="C54" s="33">
        <f>'LEARNERS DETAILS'!C50</f>
        <v>0</v>
      </c>
      <c r="D54" s="33">
        <f>'LEARNERS DETAILS'!D50</f>
        <v>0</v>
      </c>
      <c r="E54" s="69">
        <f>'LEARNERS DETAILS'!F50</f>
        <v>0</v>
      </c>
      <c r="F54" s="33" t="b">
        <f t="shared" si="4"/>
        <v>0</v>
      </c>
      <c r="G54" s="33"/>
      <c r="H54" s="33"/>
      <c r="I54" s="33"/>
      <c r="J54" s="33"/>
      <c r="K54" s="33">
        <f t="shared" si="1"/>
        <v>0</v>
      </c>
      <c r="L54" s="33">
        <f t="shared" si="2"/>
        <v>0</v>
      </c>
      <c r="M54" s="33" t="str">
        <f t="shared" si="3"/>
        <v>WITH BAL</v>
      </c>
    </row>
    <row r="55" spans="1:13" ht="15.75" x14ac:dyDescent="0.25">
      <c r="A55" s="33">
        <f>'LEARNERS DETAILS'!A51</f>
        <v>50</v>
      </c>
      <c r="B55" s="33">
        <f>'LEARNERS DETAILS'!B51</f>
        <v>0</v>
      </c>
      <c r="C55" s="33">
        <f>'LEARNERS DETAILS'!C51</f>
        <v>0</v>
      </c>
      <c r="D55" s="33">
        <f>'LEARNERS DETAILS'!D51</f>
        <v>0</v>
      </c>
      <c r="E55" s="69">
        <f>'LEARNERS DETAILS'!F51</f>
        <v>0</v>
      </c>
      <c r="F55" s="33" t="b">
        <f t="shared" si="4"/>
        <v>0</v>
      </c>
      <c r="G55" s="33"/>
      <c r="H55" s="33"/>
      <c r="I55" s="33"/>
      <c r="J55" s="33"/>
      <c r="K55" s="33">
        <f t="shared" si="1"/>
        <v>0</v>
      </c>
      <c r="L55" s="33">
        <f t="shared" si="2"/>
        <v>0</v>
      </c>
      <c r="M55" s="33" t="str">
        <f t="shared" si="3"/>
        <v>WITH BAL</v>
      </c>
    </row>
    <row r="56" spans="1:13" ht="15.75" x14ac:dyDescent="0.25">
      <c r="A56" s="33">
        <f>'LEARNERS DETAILS'!A52</f>
        <v>51</v>
      </c>
      <c r="B56" s="33">
        <f>'LEARNERS DETAILS'!B52</f>
        <v>0</v>
      </c>
      <c r="C56" s="33">
        <f>'LEARNERS DETAILS'!C52</f>
        <v>0</v>
      </c>
      <c r="D56" s="33">
        <f>'LEARNERS DETAILS'!D52</f>
        <v>0</v>
      </c>
      <c r="E56" s="69">
        <f>'LEARNERS DETAILS'!F52</f>
        <v>0</v>
      </c>
      <c r="F56" s="33" t="b">
        <f t="shared" si="4"/>
        <v>0</v>
      </c>
      <c r="G56" s="33"/>
      <c r="H56" s="33"/>
      <c r="I56" s="33"/>
      <c r="J56" s="33"/>
      <c r="K56" s="33">
        <f t="shared" si="1"/>
        <v>0</v>
      </c>
      <c r="L56" s="33">
        <f t="shared" si="2"/>
        <v>0</v>
      </c>
      <c r="M56" s="33" t="str">
        <f t="shared" si="3"/>
        <v>WITH BAL</v>
      </c>
    </row>
    <row r="57" spans="1:13" ht="15.75" x14ac:dyDescent="0.25">
      <c r="A57" s="33">
        <f>'LEARNERS DETAILS'!A53</f>
        <v>52</v>
      </c>
      <c r="B57" s="33">
        <f>'LEARNERS DETAILS'!B53</f>
        <v>0</v>
      </c>
      <c r="C57" s="33">
        <f>'LEARNERS DETAILS'!C53</f>
        <v>0</v>
      </c>
      <c r="D57" s="33">
        <f>'LEARNERS DETAILS'!D53</f>
        <v>0</v>
      </c>
      <c r="E57" s="69">
        <f>'LEARNERS DETAILS'!F53</f>
        <v>0</v>
      </c>
      <c r="F57" s="33" t="b">
        <f t="shared" si="4"/>
        <v>0</v>
      </c>
      <c r="G57" s="33"/>
      <c r="H57" s="33"/>
      <c r="I57" s="33"/>
      <c r="J57" s="33"/>
      <c r="K57" s="33">
        <f t="shared" si="1"/>
        <v>0</v>
      </c>
      <c r="L57" s="33">
        <f t="shared" si="2"/>
        <v>0</v>
      </c>
      <c r="M57" s="33" t="str">
        <f t="shared" si="3"/>
        <v>WITH BAL</v>
      </c>
    </row>
    <row r="58" spans="1:13" ht="15.75" x14ac:dyDescent="0.25">
      <c r="A58" s="33">
        <f>'LEARNERS DETAILS'!A54</f>
        <v>53</v>
      </c>
      <c r="B58" s="33">
        <f>'LEARNERS DETAILS'!B54</f>
        <v>0</v>
      </c>
      <c r="C58" s="33">
        <f>'LEARNERS DETAILS'!C54</f>
        <v>0</v>
      </c>
      <c r="D58" s="33">
        <f>'LEARNERS DETAILS'!D54</f>
        <v>0</v>
      </c>
      <c r="E58" s="69">
        <f>'LEARNERS DETAILS'!F54</f>
        <v>0</v>
      </c>
      <c r="F58" s="33" t="b">
        <f t="shared" si="4"/>
        <v>0</v>
      </c>
      <c r="G58" s="33"/>
      <c r="H58" s="33"/>
      <c r="I58" s="33"/>
      <c r="J58" s="33"/>
      <c r="K58" s="33">
        <f t="shared" si="1"/>
        <v>0</v>
      </c>
      <c r="L58" s="33">
        <f t="shared" si="2"/>
        <v>0</v>
      </c>
      <c r="M58" s="33" t="str">
        <f t="shared" si="3"/>
        <v>WITH BAL</v>
      </c>
    </row>
    <row r="59" spans="1:13" ht="15.75" x14ac:dyDescent="0.25">
      <c r="A59" s="33">
        <f>'LEARNERS DETAILS'!A55</f>
        <v>54</v>
      </c>
      <c r="B59" s="33">
        <f>'LEARNERS DETAILS'!B55</f>
        <v>0</v>
      </c>
      <c r="C59" s="33">
        <f>'LEARNERS DETAILS'!C55</f>
        <v>0</v>
      </c>
      <c r="D59" s="33">
        <f>'LEARNERS DETAILS'!D55</f>
        <v>0</v>
      </c>
      <c r="E59" s="69">
        <f>'LEARNERS DETAILS'!F55</f>
        <v>0</v>
      </c>
      <c r="F59" s="33" t="b">
        <f t="shared" si="4"/>
        <v>0</v>
      </c>
      <c r="G59" s="33"/>
      <c r="H59" s="33"/>
      <c r="I59" s="33"/>
      <c r="J59" s="33"/>
      <c r="K59" s="33">
        <f t="shared" si="1"/>
        <v>0</v>
      </c>
      <c r="L59" s="33">
        <f t="shared" si="2"/>
        <v>0</v>
      </c>
      <c r="M59" s="33" t="str">
        <f t="shared" si="3"/>
        <v>WITH BAL</v>
      </c>
    </row>
    <row r="60" spans="1:13" ht="15.75" x14ac:dyDescent="0.25">
      <c r="A60" s="33">
        <f>'LEARNERS DETAILS'!A56</f>
        <v>55</v>
      </c>
      <c r="B60" s="33">
        <f>'LEARNERS DETAILS'!B56</f>
        <v>0</v>
      </c>
      <c r="C60" s="33">
        <f>'LEARNERS DETAILS'!C56</f>
        <v>0</v>
      </c>
      <c r="D60" s="33">
        <f>'LEARNERS DETAILS'!D56</f>
        <v>0</v>
      </c>
      <c r="E60" s="69">
        <f>'LEARNERS DETAILS'!F56</f>
        <v>0</v>
      </c>
      <c r="F60" s="33" t="b">
        <f t="shared" si="4"/>
        <v>0</v>
      </c>
      <c r="G60" s="33"/>
      <c r="H60" s="33"/>
      <c r="I60" s="33"/>
      <c r="J60" s="33"/>
      <c r="K60" s="33">
        <f t="shared" si="1"/>
        <v>0</v>
      </c>
      <c r="L60" s="33">
        <f t="shared" si="2"/>
        <v>0</v>
      </c>
      <c r="M60" s="33" t="str">
        <f t="shared" si="3"/>
        <v>WITH BAL</v>
      </c>
    </row>
    <row r="61" spans="1:13" ht="15.75" x14ac:dyDescent="0.25">
      <c r="A61" s="33">
        <f>'LEARNERS DETAILS'!A57</f>
        <v>56</v>
      </c>
      <c r="B61" s="33">
        <f>'LEARNERS DETAILS'!B57</f>
        <v>0</v>
      </c>
      <c r="C61" s="33">
        <f>'LEARNERS DETAILS'!C57</f>
        <v>0</v>
      </c>
      <c r="D61" s="33">
        <f>'LEARNERS DETAILS'!D57</f>
        <v>0</v>
      </c>
      <c r="E61" s="69">
        <f>'LEARNERS DETAILS'!F57</f>
        <v>0</v>
      </c>
      <c r="F61" s="33" t="b">
        <f t="shared" si="4"/>
        <v>0</v>
      </c>
      <c r="G61" s="33"/>
      <c r="H61" s="33"/>
      <c r="I61" s="33"/>
      <c r="J61" s="33"/>
      <c r="K61" s="33">
        <f t="shared" si="1"/>
        <v>0</v>
      </c>
      <c r="L61" s="33">
        <f t="shared" si="2"/>
        <v>0</v>
      </c>
      <c r="M61" s="33" t="str">
        <f t="shared" si="3"/>
        <v>WITH BAL</v>
      </c>
    </row>
    <row r="62" spans="1:13" ht="15.75" x14ac:dyDescent="0.25">
      <c r="A62" s="33">
        <f>'LEARNERS DETAILS'!A58</f>
        <v>57</v>
      </c>
      <c r="B62" s="33">
        <f>'LEARNERS DETAILS'!B58</f>
        <v>0</v>
      </c>
      <c r="C62" s="33">
        <f>'LEARNERS DETAILS'!C58</f>
        <v>0</v>
      </c>
      <c r="D62" s="33">
        <f>'LEARNERS DETAILS'!D58</f>
        <v>0</v>
      </c>
      <c r="E62" s="69">
        <f>'LEARNERS DETAILS'!F58</f>
        <v>0</v>
      </c>
      <c r="F62" s="33" t="b">
        <f t="shared" si="4"/>
        <v>0</v>
      </c>
      <c r="G62" s="33"/>
      <c r="H62" s="33"/>
      <c r="I62" s="33"/>
      <c r="J62" s="33"/>
      <c r="K62" s="33">
        <f t="shared" si="1"/>
        <v>0</v>
      </c>
      <c r="L62" s="33">
        <f t="shared" si="2"/>
        <v>0</v>
      </c>
      <c r="M62" s="33" t="str">
        <f t="shared" si="3"/>
        <v>WITH BAL</v>
      </c>
    </row>
    <row r="63" spans="1:13" ht="15.75" x14ac:dyDescent="0.25">
      <c r="A63" s="33">
        <f>'LEARNERS DETAILS'!A59</f>
        <v>58</v>
      </c>
      <c r="B63" s="33">
        <f>'LEARNERS DETAILS'!B59</f>
        <v>0</v>
      </c>
      <c r="C63" s="33">
        <f>'LEARNERS DETAILS'!C59</f>
        <v>0</v>
      </c>
      <c r="D63" s="33">
        <f>'LEARNERS DETAILS'!D59</f>
        <v>0</v>
      </c>
      <c r="E63" s="69">
        <f>'LEARNERS DETAILS'!F59</f>
        <v>0</v>
      </c>
      <c r="F63" s="33" t="b">
        <f t="shared" si="4"/>
        <v>0</v>
      </c>
      <c r="G63" s="33"/>
      <c r="H63" s="33"/>
      <c r="I63" s="33"/>
      <c r="J63" s="33"/>
      <c r="K63" s="33">
        <f t="shared" si="1"/>
        <v>0</v>
      </c>
      <c r="L63" s="33">
        <f t="shared" si="2"/>
        <v>0</v>
      </c>
      <c r="M63" s="33" t="str">
        <f t="shared" si="3"/>
        <v>WITH BAL</v>
      </c>
    </row>
    <row r="64" spans="1:13" ht="15.75" x14ac:dyDescent="0.25">
      <c r="A64" s="33">
        <f>'LEARNERS DETAILS'!A60</f>
        <v>59</v>
      </c>
      <c r="B64" s="33">
        <f>'LEARNERS DETAILS'!B60</f>
        <v>0</v>
      </c>
      <c r="C64" s="33">
        <f>'LEARNERS DETAILS'!C60</f>
        <v>0</v>
      </c>
      <c r="D64" s="33">
        <f>'LEARNERS DETAILS'!D60</f>
        <v>0</v>
      </c>
      <c r="E64" s="69">
        <f>'LEARNERS DETAILS'!F60</f>
        <v>0</v>
      </c>
      <c r="F64" s="33" t="b">
        <f t="shared" si="4"/>
        <v>0</v>
      </c>
      <c r="G64" s="33"/>
      <c r="H64" s="33"/>
      <c r="I64" s="33"/>
      <c r="J64" s="33"/>
      <c r="K64" s="33">
        <f t="shared" si="1"/>
        <v>0</v>
      </c>
      <c r="L64" s="33">
        <f t="shared" si="2"/>
        <v>0</v>
      </c>
      <c r="M64" s="33" t="str">
        <f t="shared" si="3"/>
        <v>WITH BAL</v>
      </c>
    </row>
    <row r="65" spans="1:13" ht="15.75" x14ac:dyDescent="0.25">
      <c r="A65" s="33">
        <f>'LEARNERS DETAILS'!A61</f>
        <v>60</v>
      </c>
      <c r="B65" s="33">
        <f>'LEARNERS DETAILS'!B61</f>
        <v>0</v>
      </c>
      <c r="C65" s="33">
        <f>'LEARNERS DETAILS'!C61</f>
        <v>0</v>
      </c>
      <c r="D65" s="33">
        <f>'LEARNERS DETAILS'!D61</f>
        <v>0</v>
      </c>
      <c r="E65" s="69">
        <f>'LEARNERS DETAILS'!F61</f>
        <v>0</v>
      </c>
      <c r="F65" s="33" t="b">
        <f t="shared" si="4"/>
        <v>0</v>
      </c>
      <c r="G65" s="33"/>
      <c r="H65" s="33"/>
      <c r="I65" s="33"/>
      <c r="J65" s="33"/>
      <c r="K65" s="33">
        <f t="shared" si="1"/>
        <v>0</v>
      </c>
      <c r="L65" s="33">
        <f t="shared" si="2"/>
        <v>0</v>
      </c>
      <c r="M65" s="33" t="str">
        <f t="shared" si="3"/>
        <v>WITH BAL</v>
      </c>
    </row>
    <row r="66" spans="1:13" ht="15.75" x14ac:dyDescent="0.25">
      <c r="A66" s="33">
        <f>'LEARNERS DETAILS'!A62</f>
        <v>61</v>
      </c>
      <c r="B66" s="33">
        <f>'LEARNERS DETAILS'!B62</f>
        <v>0</v>
      </c>
      <c r="C66" s="33">
        <f>'LEARNERS DETAILS'!C62</f>
        <v>0</v>
      </c>
      <c r="D66" s="33">
        <f>'LEARNERS DETAILS'!D62</f>
        <v>0</v>
      </c>
      <c r="E66" s="69">
        <f>'LEARNERS DETAILS'!F62</f>
        <v>0</v>
      </c>
      <c r="F66" s="33" t="b">
        <f t="shared" si="4"/>
        <v>0</v>
      </c>
      <c r="G66" s="33"/>
      <c r="H66" s="33"/>
      <c r="I66" s="33"/>
      <c r="J66" s="33"/>
      <c r="K66" s="33">
        <f t="shared" si="1"/>
        <v>0</v>
      </c>
      <c r="L66" s="33">
        <f t="shared" si="2"/>
        <v>0</v>
      </c>
      <c r="M66" s="33" t="str">
        <f t="shared" si="3"/>
        <v>WITH BAL</v>
      </c>
    </row>
    <row r="67" spans="1:13" ht="15.75" x14ac:dyDescent="0.25">
      <c r="A67" s="33">
        <f>'LEARNERS DETAILS'!A63</f>
        <v>62</v>
      </c>
      <c r="B67" s="33">
        <f>'LEARNERS DETAILS'!B63</f>
        <v>0</v>
      </c>
      <c r="C67" s="33">
        <f>'LEARNERS DETAILS'!C63</f>
        <v>0</v>
      </c>
      <c r="D67" s="33">
        <f>'LEARNERS DETAILS'!D63</f>
        <v>0</v>
      </c>
      <c r="E67" s="69">
        <f>'LEARNERS DETAILS'!F63</f>
        <v>0</v>
      </c>
      <c r="F67" s="33" t="b">
        <f t="shared" si="4"/>
        <v>0</v>
      </c>
      <c r="G67" s="33"/>
      <c r="H67" s="33"/>
      <c r="I67" s="33"/>
      <c r="J67" s="33"/>
      <c r="K67" s="33">
        <f t="shared" si="1"/>
        <v>0</v>
      </c>
      <c r="L67" s="33">
        <f t="shared" si="2"/>
        <v>0</v>
      </c>
      <c r="M67" s="33" t="str">
        <f t="shared" si="3"/>
        <v>WITH BAL</v>
      </c>
    </row>
    <row r="68" spans="1:13" ht="15.75" x14ac:dyDescent="0.25">
      <c r="A68" s="33">
        <f>'LEARNERS DETAILS'!A64</f>
        <v>63</v>
      </c>
      <c r="B68" s="33">
        <f>'LEARNERS DETAILS'!B64</f>
        <v>0</v>
      </c>
      <c r="C68" s="33">
        <f>'LEARNERS DETAILS'!C64</f>
        <v>0</v>
      </c>
      <c r="D68" s="33">
        <f>'LEARNERS DETAILS'!D64</f>
        <v>0</v>
      </c>
      <c r="E68" s="69">
        <f>'LEARNERS DETAILS'!F64</f>
        <v>0</v>
      </c>
      <c r="F68" s="33" t="b">
        <f t="shared" si="4"/>
        <v>0</v>
      </c>
      <c r="G68" s="33"/>
      <c r="H68" s="33"/>
      <c r="I68" s="33"/>
      <c r="J68" s="33"/>
      <c r="K68" s="33">
        <f t="shared" si="1"/>
        <v>0</v>
      </c>
      <c r="L68" s="33">
        <f t="shared" si="2"/>
        <v>0</v>
      </c>
      <c r="M68" s="33" t="str">
        <f t="shared" si="3"/>
        <v>WITH BAL</v>
      </c>
    </row>
    <row r="69" spans="1:13" ht="15.75" x14ac:dyDescent="0.25">
      <c r="A69" s="33">
        <f>'LEARNERS DETAILS'!A65</f>
        <v>64</v>
      </c>
      <c r="B69" s="33">
        <f>'LEARNERS DETAILS'!B65</f>
        <v>0</v>
      </c>
      <c r="C69" s="33">
        <f>'LEARNERS DETAILS'!C65</f>
        <v>0</v>
      </c>
      <c r="D69" s="33">
        <f>'LEARNERS DETAILS'!D65</f>
        <v>0</v>
      </c>
      <c r="E69" s="69">
        <f>'LEARNERS DETAILS'!F65</f>
        <v>0</v>
      </c>
      <c r="F69" s="33" t="b">
        <f t="shared" si="4"/>
        <v>0</v>
      </c>
      <c r="G69" s="33"/>
      <c r="H69" s="33"/>
      <c r="I69" s="33"/>
      <c r="J69" s="33"/>
      <c r="K69" s="33">
        <f t="shared" si="1"/>
        <v>0</v>
      </c>
      <c r="L69" s="33">
        <f t="shared" si="2"/>
        <v>0</v>
      </c>
      <c r="M69" s="33" t="str">
        <f t="shared" si="3"/>
        <v>WITH BAL</v>
      </c>
    </row>
    <row r="70" spans="1:13" ht="15.75" x14ac:dyDescent="0.25">
      <c r="A70" s="33">
        <f>'LEARNERS DETAILS'!A66</f>
        <v>65</v>
      </c>
      <c r="B70" s="33">
        <f>'LEARNERS DETAILS'!B66</f>
        <v>0</v>
      </c>
      <c r="C70" s="33">
        <f>'LEARNERS DETAILS'!C66</f>
        <v>0</v>
      </c>
      <c r="D70" s="33">
        <f>'LEARNERS DETAILS'!D66</f>
        <v>0</v>
      </c>
      <c r="E70" s="69">
        <f>'LEARNERS DETAILS'!F66</f>
        <v>0</v>
      </c>
      <c r="F70" s="33" t="b">
        <f t="shared" si="4"/>
        <v>0</v>
      </c>
      <c r="G70" s="33"/>
      <c r="H70" s="33"/>
      <c r="I70" s="33"/>
      <c r="J70" s="33"/>
      <c r="K70" s="33">
        <f t="shared" si="1"/>
        <v>0</v>
      </c>
      <c r="L70" s="33">
        <f t="shared" si="2"/>
        <v>0</v>
      </c>
      <c r="M70" s="33" t="str">
        <f t="shared" si="3"/>
        <v>WITH BAL</v>
      </c>
    </row>
    <row r="71" spans="1:13" ht="15.75" x14ac:dyDescent="0.25">
      <c r="A71" s="33">
        <f>'LEARNERS DETAILS'!A67</f>
        <v>66</v>
      </c>
      <c r="B71" s="33">
        <f>'LEARNERS DETAILS'!B67</f>
        <v>0</v>
      </c>
      <c r="C71" s="33">
        <f>'LEARNERS DETAILS'!C67</f>
        <v>0</v>
      </c>
      <c r="D71" s="33">
        <f>'LEARNERS DETAILS'!D67</f>
        <v>0</v>
      </c>
      <c r="E71" s="69">
        <f>'LEARNERS DETAILS'!F67</f>
        <v>0</v>
      </c>
      <c r="F71" s="33" t="b">
        <f t="shared" si="4"/>
        <v>0</v>
      </c>
      <c r="G71" s="33"/>
      <c r="H71" s="33"/>
      <c r="I71" s="33"/>
      <c r="J71" s="33"/>
      <c r="K71" s="33">
        <f t="shared" ref="K71:K134" si="5">SUM(G71:J71)</f>
        <v>0</v>
      </c>
      <c r="L71" s="33">
        <f t="shared" ref="L71:L134" si="6">F71-K71</f>
        <v>0</v>
      </c>
      <c r="M71" s="33" t="str">
        <f t="shared" ref="M71:M134" si="7">IF(K71&gt;=F71,"CLEARED",IF(K71&lt;F71,"WITH BAL","FALSE"))</f>
        <v>WITH BAL</v>
      </c>
    </row>
    <row r="72" spans="1:13" ht="15.75" x14ac:dyDescent="0.25">
      <c r="A72" s="33">
        <f>'LEARNERS DETAILS'!A68</f>
        <v>67</v>
      </c>
      <c r="B72" s="33">
        <f>'LEARNERS DETAILS'!B68</f>
        <v>0</v>
      </c>
      <c r="C72" s="33">
        <f>'LEARNERS DETAILS'!C68</f>
        <v>0</v>
      </c>
      <c r="D72" s="33">
        <f>'LEARNERS DETAILS'!D68</f>
        <v>0</v>
      </c>
      <c r="E72" s="69">
        <f>'LEARNERS DETAILS'!F68</f>
        <v>0</v>
      </c>
      <c r="F72" s="33" t="b">
        <f t="shared" ref="F72:F135" si="8">IF(C72="GRADE 1",1000,IF(C72="GRADE 2",2000,IF(C72="GRADE 3",3000,IF(C72="GRADE 4",4000,IF(C72="GRADE 5",4000,IF(C72="GRADE 6",5000,IF(C72="GRADE 7",6000,IF(C72="GRADE 8",7000,IF(C72="GRADE 9",8000,IF(C72="GRADE 10",9000,IF(C72="GRADE 11",10000,IF(C72="GRADE 12",11000))))))))))))</f>
        <v>0</v>
      </c>
      <c r="G72" s="33"/>
      <c r="H72" s="33"/>
      <c r="I72" s="33"/>
      <c r="J72" s="33"/>
      <c r="K72" s="33">
        <f t="shared" si="5"/>
        <v>0</v>
      </c>
      <c r="L72" s="33">
        <f t="shared" si="6"/>
        <v>0</v>
      </c>
      <c r="M72" s="33" t="str">
        <f t="shared" si="7"/>
        <v>WITH BAL</v>
      </c>
    </row>
    <row r="73" spans="1:13" ht="15.75" x14ac:dyDescent="0.25">
      <c r="A73" s="33">
        <f>'LEARNERS DETAILS'!A69</f>
        <v>68</v>
      </c>
      <c r="B73" s="33">
        <f>'LEARNERS DETAILS'!B69</f>
        <v>0</v>
      </c>
      <c r="C73" s="33">
        <f>'LEARNERS DETAILS'!C69</f>
        <v>0</v>
      </c>
      <c r="D73" s="33">
        <f>'LEARNERS DETAILS'!D69</f>
        <v>0</v>
      </c>
      <c r="E73" s="69">
        <f>'LEARNERS DETAILS'!F69</f>
        <v>0</v>
      </c>
      <c r="F73" s="33" t="b">
        <f t="shared" si="8"/>
        <v>0</v>
      </c>
      <c r="G73" s="33"/>
      <c r="H73" s="33"/>
      <c r="I73" s="33"/>
      <c r="J73" s="33"/>
      <c r="K73" s="33">
        <f t="shared" si="5"/>
        <v>0</v>
      </c>
      <c r="L73" s="33">
        <f t="shared" si="6"/>
        <v>0</v>
      </c>
      <c r="M73" s="33" t="str">
        <f t="shared" si="7"/>
        <v>WITH BAL</v>
      </c>
    </row>
    <row r="74" spans="1:13" ht="15.75" x14ac:dyDescent="0.25">
      <c r="A74" s="33">
        <f>'LEARNERS DETAILS'!A70</f>
        <v>69</v>
      </c>
      <c r="B74" s="33">
        <f>'LEARNERS DETAILS'!B70</f>
        <v>0</v>
      </c>
      <c r="C74" s="33">
        <f>'LEARNERS DETAILS'!C70</f>
        <v>0</v>
      </c>
      <c r="D74" s="33">
        <f>'LEARNERS DETAILS'!D70</f>
        <v>0</v>
      </c>
      <c r="E74" s="69">
        <f>'LEARNERS DETAILS'!F70</f>
        <v>0</v>
      </c>
      <c r="F74" s="33" t="b">
        <f t="shared" si="8"/>
        <v>0</v>
      </c>
      <c r="G74" s="33"/>
      <c r="H74" s="33"/>
      <c r="I74" s="33"/>
      <c r="J74" s="33"/>
      <c r="K74" s="33">
        <f t="shared" si="5"/>
        <v>0</v>
      </c>
      <c r="L74" s="33">
        <f t="shared" si="6"/>
        <v>0</v>
      </c>
      <c r="M74" s="33" t="str">
        <f t="shared" si="7"/>
        <v>WITH BAL</v>
      </c>
    </row>
    <row r="75" spans="1:13" ht="15.75" x14ac:dyDescent="0.25">
      <c r="A75" s="33">
        <f>'LEARNERS DETAILS'!A71</f>
        <v>70</v>
      </c>
      <c r="B75" s="33">
        <f>'LEARNERS DETAILS'!B71</f>
        <v>0</v>
      </c>
      <c r="C75" s="33">
        <f>'LEARNERS DETAILS'!C71</f>
        <v>0</v>
      </c>
      <c r="D75" s="33">
        <f>'LEARNERS DETAILS'!D71</f>
        <v>0</v>
      </c>
      <c r="E75" s="69">
        <f>'LEARNERS DETAILS'!F71</f>
        <v>0</v>
      </c>
      <c r="F75" s="33" t="b">
        <f t="shared" si="8"/>
        <v>0</v>
      </c>
      <c r="G75" s="33"/>
      <c r="H75" s="33"/>
      <c r="I75" s="33"/>
      <c r="J75" s="33"/>
      <c r="K75" s="33">
        <f t="shared" si="5"/>
        <v>0</v>
      </c>
      <c r="L75" s="33">
        <f t="shared" si="6"/>
        <v>0</v>
      </c>
      <c r="M75" s="33" t="str">
        <f t="shared" si="7"/>
        <v>WITH BAL</v>
      </c>
    </row>
    <row r="76" spans="1:13" ht="15.75" x14ac:dyDescent="0.25">
      <c r="A76" s="33">
        <f>'LEARNERS DETAILS'!A72</f>
        <v>71</v>
      </c>
      <c r="B76" s="33">
        <f>'LEARNERS DETAILS'!B72</f>
        <v>0</v>
      </c>
      <c r="C76" s="33">
        <f>'LEARNERS DETAILS'!C72</f>
        <v>0</v>
      </c>
      <c r="D76" s="33">
        <f>'LEARNERS DETAILS'!D72</f>
        <v>0</v>
      </c>
      <c r="E76" s="69">
        <f>'LEARNERS DETAILS'!F72</f>
        <v>0</v>
      </c>
      <c r="F76" s="33" t="b">
        <f t="shared" si="8"/>
        <v>0</v>
      </c>
      <c r="G76" s="33"/>
      <c r="H76" s="33"/>
      <c r="I76" s="33"/>
      <c r="J76" s="33"/>
      <c r="K76" s="33">
        <f t="shared" si="5"/>
        <v>0</v>
      </c>
      <c r="L76" s="33">
        <f t="shared" si="6"/>
        <v>0</v>
      </c>
      <c r="M76" s="33" t="str">
        <f t="shared" si="7"/>
        <v>WITH BAL</v>
      </c>
    </row>
    <row r="77" spans="1:13" ht="15.75" x14ac:dyDescent="0.25">
      <c r="A77" s="33">
        <f>'LEARNERS DETAILS'!A73</f>
        <v>72</v>
      </c>
      <c r="B77" s="33">
        <f>'LEARNERS DETAILS'!B73</f>
        <v>0</v>
      </c>
      <c r="C77" s="33">
        <f>'LEARNERS DETAILS'!C73</f>
        <v>0</v>
      </c>
      <c r="D77" s="33">
        <f>'LEARNERS DETAILS'!D73</f>
        <v>0</v>
      </c>
      <c r="E77" s="69">
        <f>'LEARNERS DETAILS'!F73</f>
        <v>0</v>
      </c>
      <c r="F77" s="33" t="b">
        <f t="shared" si="8"/>
        <v>0</v>
      </c>
      <c r="G77" s="33"/>
      <c r="H77" s="33"/>
      <c r="I77" s="33"/>
      <c r="J77" s="33"/>
      <c r="K77" s="33">
        <f t="shared" si="5"/>
        <v>0</v>
      </c>
      <c r="L77" s="33">
        <f t="shared" si="6"/>
        <v>0</v>
      </c>
      <c r="M77" s="33" t="str">
        <f t="shared" si="7"/>
        <v>WITH BAL</v>
      </c>
    </row>
    <row r="78" spans="1:13" ht="15.75" x14ac:dyDescent="0.25">
      <c r="A78" s="33">
        <f>'LEARNERS DETAILS'!A74</f>
        <v>73</v>
      </c>
      <c r="B78" s="33">
        <f>'LEARNERS DETAILS'!B74</f>
        <v>0</v>
      </c>
      <c r="C78" s="33">
        <f>'LEARNERS DETAILS'!C74</f>
        <v>0</v>
      </c>
      <c r="D78" s="33">
        <f>'LEARNERS DETAILS'!D74</f>
        <v>0</v>
      </c>
      <c r="E78" s="69">
        <f>'LEARNERS DETAILS'!F74</f>
        <v>0</v>
      </c>
      <c r="F78" s="33" t="b">
        <f t="shared" si="8"/>
        <v>0</v>
      </c>
      <c r="G78" s="33"/>
      <c r="H78" s="33"/>
      <c r="I78" s="33"/>
      <c r="J78" s="33"/>
      <c r="K78" s="33">
        <f t="shared" si="5"/>
        <v>0</v>
      </c>
      <c r="L78" s="33">
        <f t="shared" si="6"/>
        <v>0</v>
      </c>
      <c r="M78" s="33" t="str">
        <f t="shared" si="7"/>
        <v>WITH BAL</v>
      </c>
    </row>
    <row r="79" spans="1:13" ht="15.75" x14ac:dyDescent="0.25">
      <c r="A79" s="33">
        <f>'LEARNERS DETAILS'!A75</f>
        <v>74</v>
      </c>
      <c r="B79" s="33">
        <f>'LEARNERS DETAILS'!B75</f>
        <v>0</v>
      </c>
      <c r="C79" s="33">
        <f>'LEARNERS DETAILS'!C75</f>
        <v>0</v>
      </c>
      <c r="D79" s="33">
        <f>'LEARNERS DETAILS'!D75</f>
        <v>0</v>
      </c>
      <c r="E79" s="69">
        <f>'LEARNERS DETAILS'!F75</f>
        <v>0</v>
      </c>
      <c r="F79" s="33" t="b">
        <f t="shared" si="8"/>
        <v>0</v>
      </c>
      <c r="G79" s="33"/>
      <c r="H79" s="33"/>
      <c r="I79" s="33"/>
      <c r="J79" s="33"/>
      <c r="K79" s="33">
        <f t="shared" si="5"/>
        <v>0</v>
      </c>
      <c r="L79" s="33">
        <f t="shared" si="6"/>
        <v>0</v>
      </c>
      <c r="M79" s="33" t="str">
        <f t="shared" si="7"/>
        <v>WITH BAL</v>
      </c>
    </row>
    <row r="80" spans="1:13" ht="15.75" x14ac:dyDescent="0.25">
      <c r="A80" s="33">
        <f>'LEARNERS DETAILS'!A76</f>
        <v>75</v>
      </c>
      <c r="B80" s="33">
        <f>'LEARNERS DETAILS'!B76</f>
        <v>0</v>
      </c>
      <c r="C80" s="33">
        <f>'LEARNERS DETAILS'!C76</f>
        <v>0</v>
      </c>
      <c r="D80" s="33">
        <f>'LEARNERS DETAILS'!D76</f>
        <v>0</v>
      </c>
      <c r="E80" s="69">
        <f>'LEARNERS DETAILS'!F76</f>
        <v>0</v>
      </c>
      <c r="F80" s="33" t="b">
        <f t="shared" si="8"/>
        <v>0</v>
      </c>
      <c r="G80" s="33"/>
      <c r="H80" s="33"/>
      <c r="I80" s="33"/>
      <c r="J80" s="33"/>
      <c r="K80" s="33">
        <f t="shared" si="5"/>
        <v>0</v>
      </c>
      <c r="L80" s="33">
        <f t="shared" si="6"/>
        <v>0</v>
      </c>
      <c r="M80" s="33" t="str">
        <f t="shared" si="7"/>
        <v>WITH BAL</v>
      </c>
    </row>
    <row r="81" spans="1:13" ht="15.75" x14ac:dyDescent="0.25">
      <c r="A81" s="33">
        <f>'LEARNERS DETAILS'!A77</f>
        <v>76</v>
      </c>
      <c r="B81" s="33">
        <f>'LEARNERS DETAILS'!B77</f>
        <v>0</v>
      </c>
      <c r="C81" s="33">
        <f>'LEARNERS DETAILS'!C77</f>
        <v>0</v>
      </c>
      <c r="D81" s="33">
        <f>'LEARNERS DETAILS'!D77</f>
        <v>0</v>
      </c>
      <c r="E81" s="69">
        <f>'LEARNERS DETAILS'!F77</f>
        <v>0</v>
      </c>
      <c r="F81" s="33" t="b">
        <f t="shared" si="8"/>
        <v>0</v>
      </c>
      <c r="G81" s="33"/>
      <c r="H81" s="33"/>
      <c r="I81" s="33"/>
      <c r="J81" s="33"/>
      <c r="K81" s="33">
        <f t="shared" si="5"/>
        <v>0</v>
      </c>
      <c r="L81" s="33">
        <f t="shared" si="6"/>
        <v>0</v>
      </c>
      <c r="M81" s="33" t="str">
        <f t="shared" si="7"/>
        <v>WITH BAL</v>
      </c>
    </row>
    <row r="82" spans="1:13" ht="15.75" x14ac:dyDescent="0.25">
      <c r="A82" s="33">
        <f>'LEARNERS DETAILS'!A78</f>
        <v>77</v>
      </c>
      <c r="B82" s="33">
        <f>'LEARNERS DETAILS'!B78</f>
        <v>0</v>
      </c>
      <c r="C82" s="33">
        <f>'LEARNERS DETAILS'!C78</f>
        <v>0</v>
      </c>
      <c r="D82" s="33">
        <f>'LEARNERS DETAILS'!D78</f>
        <v>0</v>
      </c>
      <c r="E82" s="69">
        <f>'LEARNERS DETAILS'!F78</f>
        <v>0</v>
      </c>
      <c r="F82" s="33" t="b">
        <f t="shared" si="8"/>
        <v>0</v>
      </c>
      <c r="G82" s="33"/>
      <c r="H82" s="33"/>
      <c r="I82" s="33"/>
      <c r="J82" s="33"/>
      <c r="K82" s="33">
        <f t="shared" si="5"/>
        <v>0</v>
      </c>
      <c r="L82" s="33">
        <f t="shared" si="6"/>
        <v>0</v>
      </c>
      <c r="M82" s="33" t="str">
        <f t="shared" si="7"/>
        <v>WITH BAL</v>
      </c>
    </row>
    <row r="83" spans="1:13" ht="15.75" x14ac:dyDescent="0.25">
      <c r="A83" s="33">
        <f>'LEARNERS DETAILS'!A79</f>
        <v>78</v>
      </c>
      <c r="B83" s="33">
        <f>'LEARNERS DETAILS'!B79</f>
        <v>0</v>
      </c>
      <c r="C83" s="33">
        <f>'LEARNERS DETAILS'!C79</f>
        <v>0</v>
      </c>
      <c r="D83" s="33">
        <f>'LEARNERS DETAILS'!D79</f>
        <v>0</v>
      </c>
      <c r="E83" s="69">
        <f>'LEARNERS DETAILS'!F79</f>
        <v>0</v>
      </c>
      <c r="F83" s="33" t="b">
        <f t="shared" si="8"/>
        <v>0</v>
      </c>
      <c r="G83" s="33"/>
      <c r="H83" s="33"/>
      <c r="I83" s="33"/>
      <c r="J83" s="33"/>
      <c r="K83" s="33">
        <f t="shared" si="5"/>
        <v>0</v>
      </c>
      <c r="L83" s="33">
        <f t="shared" si="6"/>
        <v>0</v>
      </c>
      <c r="M83" s="33" t="str">
        <f t="shared" si="7"/>
        <v>WITH BAL</v>
      </c>
    </row>
    <row r="84" spans="1:13" ht="15.75" x14ac:dyDescent="0.25">
      <c r="A84" s="33">
        <f>'LEARNERS DETAILS'!A80</f>
        <v>79</v>
      </c>
      <c r="B84" s="33">
        <f>'LEARNERS DETAILS'!B80</f>
        <v>0</v>
      </c>
      <c r="C84" s="33">
        <f>'LEARNERS DETAILS'!C80</f>
        <v>0</v>
      </c>
      <c r="D84" s="33">
        <f>'LEARNERS DETAILS'!D80</f>
        <v>0</v>
      </c>
      <c r="E84" s="69">
        <f>'LEARNERS DETAILS'!F80</f>
        <v>0</v>
      </c>
      <c r="F84" s="33" t="b">
        <f t="shared" si="8"/>
        <v>0</v>
      </c>
      <c r="G84" s="33"/>
      <c r="H84" s="33"/>
      <c r="I84" s="33"/>
      <c r="J84" s="33"/>
      <c r="K84" s="33">
        <f t="shared" si="5"/>
        <v>0</v>
      </c>
      <c r="L84" s="33">
        <f t="shared" si="6"/>
        <v>0</v>
      </c>
      <c r="M84" s="33" t="str">
        <f t="shared" si="7"/>
        <v>WITH BAL</v>
      </c>
    </row>
    <row r="85" spans="1:13" ht="15.75" x14ac:dyDescent="0.25">
      <c r="A85" s="33">
        <f>'LEARNERS DETAILS'!A81</f>
        <v>80</v>
      </c>
      <c r="B85" s="33">
        <f>'LEARNERS DETAILS'!B81</f>
        <v>0</v>
      </c>
      <c r="C85" s="33">
        <f>'LEARNERS DETAILS'!C81</f>
        <v>0</v>
      </c>
      <c r="D85" s="33">
        <f>'LEARNERS DETAILS'!D81</f>
        <v>0</v>
      </c>
      <c r="E85" s="69">
        <f>'LEARNERS DETAILS'!F81</f>
        <v>0</v>
      </c>
      <c r="F85" s="33" t="b">
        <f t="shared" si="8"/>
        <v>0</v>
      </c>
      <c r="G85" s="33"/>
      <c r="H85" s="33"/>
      <c r="I85" s="33"/>
      <c r="J85" s="33"/>
      <c r="K85" s="33">
        <f t="shared" si="5"/>
        <v>0</v>
      </c>
      <c r="L85" s="33">
        <f t="shared" si="6"/>
        <v>0</v>
      </c>
      <c r="M85" s="33" t="str">
        <f t="shared" si="7"/>
        <v>WITH BAL</v>
      </c>
    </row>
    <row r="86" spans="1:13" ht="15.75" x14ac:dyDescent="0.25">
      <c r="A86" s="33">
        <f>'LEARNERS DETAILS'!A82</f>
        <v>81</v>
      </c>
      <c r="B86" s="33">
        <f>'LEARNERS DETAILS'!B82</f>
        <v>0</v>
      </c>
      <c r="C86" s="33">
        <f>'LEARNERS DETAILS'!C82</f>
        <v>0</v>
      </c>
      <c r="D86" s="33">
        <f>'LEARNERS DETAILS'!D82</f>
        <v>0</v>
      </c>
      <c r="E86" s="69">
        <f>'LEARNERS DETAILS'!F82</f>
        <v>0</v>
      </c>
      <c r="F86" s="33" t="b">
        <f t="shared" si="8"/>
        <v>0</v>
      </c>
      <c r="G86" s="33"/>
      <c r="H86" s="33"/>
      <c r="I86" s="33"/>
      <c r="J86" s="33"/>
      <c r="K86" s="33">
        <f t="shared" si="5"/>
        <v>0</v>
      </c>
      <c r="L86" s="33">
        <f t="shared" si="6"/>
        <v>0</v>
      </c>
      <c r="M86" s="33" t="str">
        <f t="shared" si="7"/>
        <v>WITH BAL</v>
      </c>
    </row>
    <row r="87" spans="1:13" ht="15.75" x14ac:dyDescent="0.25">
      <c r="A87" s="33">
        <f>'LEARNERS DETAILS'!A83</f>
        <v>82</v>
      </c>
      <c r="B87" s="33">
        <f>'LEARNERS DETAILS'!B83</f>
        <v>0</v>
      </c>
      <c r="C87" s="33">
        <f>'LEARNERS DETAILS'!C83</f>
        <v>0</v>
      </c>
      <c r="D87" s="33">
        <f>'LEARNERS DETAILS'!D83</f>
        <v>0</v>
      </c>
      <c r="E87" s="69">
        <f>'LEARNERS DETAILS'!F83</f>
        <v>0</v>
      </c>
      <c r="F87" s="33" t="b">
        <f t="shared" si="8"/>
        <v>0</v>
      </c>
      <c r="G87" s="33"/>
      <c r="H87" s="33"/>
      <c r="I87" s="33"/>
      <c r="J87" s="33"/>
      <c r="K87" s="33">
        <f t="shared" si="5"/>
        <v>0</v>
      </c>
      <c r="L87" s="33">
        <f t="shared" si="6"/>
        <v>0</v>
      </c>
      <c r="M87" s="33" t="str">
        <f t="shared" si="7"/>
        <v>WITH BAL</v>
      </c>
    </row>
    <row r="88" spans="1:13" ht="15.75" x14ac:dyDescent="0.25">
      <c r="A88" s="33">
        <f>'LEARNERS DETAILS'!A84</f>
        <v>83</v>
      </c>
      <c r="B88" s="33">
        <f>'LEARNERS DETAILS'!B84</f>
        <v>0</v>
      </c>
      <c r="C88" s="33">
        <f>'LEARNERS DETAILS'!C84</f>
        <v>0</v>
      </c>
      <c r="D88" s="33">
        <f>'LEARNERS DETAILS'!D84</f>
        <v>0</v>
      </c>
      <c r="E88" s="69">
        <f>'LEARNERS DETAILS'!F84</f>
        <v>0</v>
      </c>
      <c r="F88" s="33" t="b">
        <f t="shared" si="8"/>
        <v>0</v>
      </c>
      <c r="G88" s="33"/>
      <c r="H88" s="33"/>
      <c r="I88" s="33"/>
      <c r="J88" s="33"/>
      <c r="K88" s="33">
        <f t="shared" si="5"/>
        <v>0</v>
      </c>
      <c r="L88" s="33">
        <f t="shared" si="6"/>
        <v>0</v>
      </c>
      <c r="M88" s="33" t="str">
        <f t="shared" si="7"/>
        <v>WITH BAL</v>
      </c>
    </row>
    <row r="89" spans="1:13" ht="15.75" x14ac:dyDescent="0.25">
      <c r="A89" s="33">
        <f>'LEARNERS DETAILS'!A85</f>
        <v>84</v>
      </c>
      <c r="B89" s="33">
        <f>'LEARNERS DETAILS'!B85</f>
        <v>0</v>
      </c>
      <c r="C89" s="33">
        <f>'LEARNERS DETAILS'!C85</f>
        <v>0</v>
      </c>
      <c r="D89" s="33">
        <f>'LEARNERS DETAILS'!D85</f>
        <v>0</v>
      </c>
      <c r="E89" s="69">
        <f>'LEARNERS DETAILS'!F85</f>
        <v>0</v>
      </c>
      <c r="F89" s="33" t="b">
        <f t="shared" si="8"/>
        <v>0</v>
      </c>
      <c r="G89" s="33"/>
      <c r="H89" s="33"/>
      <c r="I89" s="33"/>
      <c r="J89" s="33"/>
      <c r="K89" s="33">
        <f t="shared" si="5"/>
        <v>0</v>
      </c>
      <c r="L89" s="33">
        <f t="shared" si="6"/>
        <v>0</v>
      </c>
      <c r="M89" s="33" t="str">
        <f t="shared" si="7"/>
        <v>WITH BAL</v>
      </c>
    </row>
    <row r="90" spans="1:13" ht="15.75" x14ac:dyDescent="0.25">
      <c r="A90" s="33">
        <f>'LEARNERS DETAILS'!A86</f>
        <v>85</v>
      </c>
      <c r="B90" s="33">
        <f>'LEARNERS DETAILS'!B86</f>
        <v>0</v>
      </c>
      <c r="C90" s="33">
        <f>'LEARNERS DETAILS'!C86</f>
        <v>0</v>
      </c>
      <c r="D90" s="33">
        <f>'LEARNERS DETAILS'!D86</f>
        <v>0</v>
      </c>
      <c r="E90" s="69">
        <f>'LEARNERS DETAILS'!F86</f>
        <v>0</v>
      </c>
      <c r="F90" s="33" t="b">
        <f t="shared" si="8"/>
        <v>0</v>
      </c>
      <c r="G90" s="33"/>
      <c r="H90" s="33"/>
      <c r="I90" s="33"/>
      <c r="J90" s="33"/>
      <c r="K90" s="33">
        <f t="shared" si="5"/>
        <v>0</v>
      </c>
      <c r="L90" s="33">
        <f t="shared" si="6"/>
        <v>0</v>
      </c>
      <c r="M90" s="33" t="str">
        <f t="shared" si="7"/>
        <v>WITH BAL</v>
      </c>
    </row>
    <row r="91" spans="1:13" ht="15.75" x14ac:dyDescent="0.25">
      <c r="A91" s="33">
        <f>'LEARNERS DETAILS'!A87</f>
        <v>86</v>
      </c>
      <c r="B91" s="33">
        <f>'LEARNERS DETAILS'!B87</f>
        <v>0</v>
      </c>
      <c r="C91" s="33">
        <f>'LEARNERS DETAILS'!C87</f>
        <v>0</v>
      </c>
      <c r="D91" s="33">
        <f>'LEARNERS DETAILS'!D87</f>
        <v>0</v>
      </c>
      <c r="E91" s="69">
        <f>'LEARNERS DETAILS'!F87</f>
        <v>0</v>
      </c>
      <c r="F91" s="33" t="b">
        <f t="shared" si="8"/>
        <v>0</v>
      </c>
      <c r="G91" s="33"/>
      <c r="H91" s="33"/>
      <c r="I91" s="33"/>
      <c r="J91" s="33"/>
      <c r="K91" s="33">
        <f t="shared" si="5"/>
        <v>0</v>
      </c>
      <c r="L91" s="33">
        <f t="shared" si="6"/>
        <v>0</v>
      </c>
      <c r="M91" s="33" t="str">
        <f t="shared" si="7"/>
        <v>WITH BAL</v>
      </c>
    </row>
    <row r="92" spans="1:13" ht="15.75" x14ac:dyDescent="0.25">
      <c r="A92" s="33">
        <f>'LEARNERS DETAILS'!A88</f>
        <v>87</v>
      </c>
      <c r="B92" s="33">
        <f>'LEARNERS DETAILS'!B88</f>
        <v>0</v>
      </c>
      <c r="C92" s="33">
        <f>'LEARNERS DETAILS'!C88</f>
        <v>0</v>
      </c>
      <c r="D92" s="33">
        <f>'LEARNERS DETAILS'!D88</f>
        <v>0</v>
      </c>
      <c r="E92" s="69">
        <f>'LEARNERS DETAILS'!F88</f>
        <v>0</v>
      </c>
      <c r="F92" s="33" t="b">
        <f t="shared" si="8"/>
        <v>0</v>
      </c>
      <c r="G92" s="33"/>
      <c r="H92" s="33"/>
      <c r="I92" s="33"/>
      <c r="J92" s="33"/>
      <c r="K92" s="33">
        <f t="shared" si="5"/>
        <v>0</v>
      </c>
      <c r="L92" s="33">
        <f t="shared" si="6"/>
        <v>0</v>
      </c>
      <c r="M92" s="33" t="str">
        <f t="shared" si="7"/>
        <v>WITH BAL</v>
      </c>
    </row>
    <row r="93" spans="1:13" ht="15.75" x14ac:dyDescent="0.25">
      <c r="A93" s="33">
        <f>'LEARNERS DETAILS'!A89</f>
        <v>88</v>
      </c>
      <c r="B93" s="33">
        <f>'LEARNERS DETAILS'!B89</f>
        <v>0</v>
      </c>
      <c r="C93" s="33">
        <f>'LEARNERS DETAILS'!C89</f>
        <v>0</v>
      </c>
      <c r="D93" s="33">
        <f>'LEARNERS DETAILS'!D89</f>
        <v>0</v>
      </c>
      <c r="E93" s="69">
        <f>'LEARNERS DETAILS'!F89</f>
        <v>0</v>
      </c>
      <c r="F93" s="33" t="b">
        <f t="shared" si="8"/>
        <v>0</v>
      </c>
      <c r="G93" s="33"/>
      <c r="H93" s="33"/>
      <c r="I93" s="33"/>
      <c r="J93" s="33"/>
      <c r="K93" s="33">
        <f t="shared" si="5"/>
        <v>0</v>
      </c>
      <c r="L93" s="33">
        <f t="shared" si="6"/>
        <v>0</v>
      </c>
      <c r="M93" s="33" t="str">
        <f t="shared" si="7"/>
        <v>WITH BAL</v>
      </c>
    </row>
    <row r="94" spans="1:13" ht="15.75" x14ac:dyDescent="0.25">
      <c r="A94" s="33">
        <f>'LEARNERS DETAILS'!A90</f>
        <v>89</v>
      </c>
      <c r="B94" s="33">
        <f>'LEARNERS DETAILS'!B90</f>
        <v>0</v>
      </c>
      <c r="C94" s="33">
        <f>'LEARNERS DETAILS'!C90</f>
        <v>0</v>
      </c>
      <c r="D94" s="33">
        <f>'LEARNERS DETAILS'!D90</f>
        <v>0</v>
      </c>
      <c r="E94" s="69">
        <f>'LEARNERS DETAILS'!F90</f>
        <v>0</v>
      </c>
      <c r="F94" s="33" t="b">
        <f t="shared" si="8"/>
        <v>0</v>
      </c>
      <c r="G94" s="33"/>
      <c r="H94" s="33"/>
      <c r="I94" s="33"/>
      <c r="J94" s="33"/>
      <c r="K94" s="33">
        <f t="shared" si="5"/>
        <v>0</v>
      </c>
      <c r="L94" s="33">
        <f t="shared" si="6"/>
        <v>0</v>
      </c>
      <c r="M94" s="33" t="str">
        <f t="shared" si="7"/>
        <v>WITH BAL</v>
      </c>
    </row>
    <row r="95" spans="1:13" ht="15.75" x14ac:dyDescent="0.25">
      <c r="A95" s="33">
        <f>'LEARNERS DETAILS'!A91</f>
        <v>90</v>
      </c>
      <c r="B95" s="33">
        <f>'LEARNERS DETAILS'!B91</f>
        <v>0</v>
      </c>
      <c r="C95" s="33">
        <f>'LEARNERS DETAILS'!C91</f>
        <v>0</v>
      </c>
      <c r="D95" s="33">
        <f>'LEARNERS DETAILS'!D91</f>
        <v>0</v>
      </c>
      <c r="E95" s="69">
        <f>'LEARNERS DETAILS'!F91</f>
        <v>0</v>
      </c>
      <c r="F95" s="33" t="b">
        <f t="shared" si="8"/>
        <v>0</v>
      </c>
      <c r="G95" s="33"/>
      <c r="H95" s="33"/>
      <c r="I95" s="33"/>
      <c r="J95" s="33"/>
      <c r="K95" s="33">
        <f t="shared" si="5"/>
        <v>0</v>
      </c>
      <c r="L95" s="33">
        <f t="shared" si="6"/>
        <v>0</v>
      </c>
      <c r="M95" s="33" t="str">
        <f t="shared" si="7"/>
        <v>WITH BAL</v>
      </c>
    </row>
    <row r="96" spans="1:13" ht="15.75" x14ac:dyDescent="0.25">
      <c r="A96" s="33">
        <f>'LEARNERS DETAILS'!A92</f>
        <v>91</v>
      </c>
      <c r="B96" s="33">
        <f>'LEARNERS DETAILS'!B92</f>
        <v>0</v>
      </c>
      <c r="C96" s="33">
        <f>'LEARNERS DETAILS'!C92</f>
        <v>0</v>
      </c>
      <c r="D96" s="33">
        <f>'LEARNERS DETAILS'!D92</f>
        <v>0</v>
      </c>
      <c r="E96" s="69">
        <f>'LEARNERS DETAILS'!F92</f>
        <v>0</v>
      </c>
      <c r="F96" s="33" t="b">
        <f t="shared" si="8"/>
        <v>0</v>
      </c>
      <c r="G96" s="33"/>
      <c r="H96" s="33"/>
      <c r="I96" s="33"/>
      <c r="J96" s="33"/>
      <c r="K96" s="33">
        <f t="shared" si="5"/>
        <v>0</v>
      </c>
      <c r="L96" s="33">
        <f t="shared" si="6"/>
        <v>0</v>
      </c>
      <c r="M96" s="33" t="str">
        <f t="shared" si="7"/>
        <v>WITH BAL</v>
      </c>
    </row>
    <row r="97" spans="1:13" ht="15.75" x14ac:dyDescent="0.25">
      <c r="A97" s="33">
        <f>'LEARNERS DETAILS'!A93</f>
        <v>92</v>
      </c>
      <c r="B97" s="33">
        <f>'LEARNERS DETAILS'!B93</f>
        <v>0</v>
      </c>
      <c r="C97" s="33">
        <f>'LEARNERS DETAILS'!C93</f>
        <v>0</v>
      </c>
      <c r="D97" s="33">
        <f>'LEARNERS DETAILS'!D93</f>
        <v>0</v>
      </c>
      <c r="E97" s="69">
        <f>'LEARNERS DETAILS'!F93</f>
        <v>0</v>
      </c>
      <c r="F97" s="33" t="b">
        <f t="shared" si="8"/>
        <v>0</v>
      </c>
      <c r="G97" s="33"/>
      <c r="H97" s="33"/>
      <c r="I97" s="33"/>
      <c r="J97" s="33"/>
      <c r="K97" s="33">
        <f t="shared" si="5"/>
        <v>0</v>
      </c>
      <c r="L97" s="33">
        <f t="shared" si="6"/>
        <v>0</v>
      </c>
      <c r="M97" s="33" t="str">
        <f t="shared" si="7"/>
        <v>WITH BAL</v>
      </c>
    </row>
    <row r="98" spans="1:13" ht="15.75" x14ac:dyDescent="0.25">
      <c r="A98" s="33">
        <f>'LEARNERS DETAILS'!A94</f>
        <v>93</v>
      </c>
      <c r="B98" s="33">
        <f>'LEARNERS DETAILS'!B94</f>
        <v>0</v>
      </c>
      <c r="C98" s="33">
        <f>'LEARNERS DETAILS'!C94</f>
        <v>0</v>
      </c>
      <c r="D98" s="33">
        <f>'LEARNERS DETAILS'!D94</f>
        <v>0</v>
      </c>
      <c r="E98" s="69">
        <f>'LEARNERS DETAILS'!F94</f>
        <v>0</v>
      </c>
      <c r="F98" s="33" t="b">
        <f t="shared" si="8"/>
        <v>0</v>
      </c>
      <c r="G98" s="33"/>
      <c r="H98" s="33"/>
      <c r="I98" s="33"/>
      <c r="J98" s="33"/>
      <c r="K98" s="33">
        <f t="shared" si="5"/>
        <v>0</v>
      </c>
      <c r="L98" s="33">
        <f t="shared" si="6"/>
        <v>0</v>
      </c>
      <c r="M98" s="33" t="str">
        <f t="shared" si="7"/>
        <v>WITH BAL</v>
      </c>
    </row>
    <row r="99" spans="1:13" ht="15.75" x14ac:dyDescent="0.25">
      <c r="A99" s="33">
        <f>'LEARNERS DETAILS'!A95</f>
        <v>94</v>
      </c>
      <c r="B99" s="33">
        <f>'LEARNERS DETAILS'!B95</f>
        <v>0</v>
      </c>
      <c r="C99" s="33">
        <f>'LEARNERS DETAILS'!C95</f>
        <v>0</v>
      </c>
      <c r="D99" s="33">
        <f>'LEARNERS DETAILS'!D95</f>
        <v>0</v>
      </c>
      <c r="E99" s="69">
        <f>'LEARNERS DETAILS'!F95</f>
        <v>0</v>
      </c>
      <c r="F99" s="33" t="b">
        <f t="shared" si="8"/>
        <v>0</v>
      </c>
      <c r="G99" s="33"/>
      <c r="H99" s="33"/>
      <c r="I99" s="33"/>
      <c r="J99" s="33"/>
      <c r="K99" s="33">
        <f t="shared" si="5"/>
        <v>0</v>
      </c>
      <c r="L99" s="33">
        <f t="shared" si="6"/>
        <v>0</v>
      </c>
      <c r="M99" s="33" t="str">
        <f t="shared" si="7"/>
        <v>WITH BAL</v>
      </c>
    </row>
    <row r="100" spans="1:13" ht="15.75" x14ac:dyDescent="0.25">
      <c r="A100" s="33">
        <f>'LEARNERS DETAILS'!A96</f>
        <v>95</v>
      </c>
      <c r="B100" s="33">
        <f>'LEARNERS DETAILS'!B96</f>
        <v>0</v>
      </c>
      <c r="C100" s="33">
        <f>'LEARNERS DETAILS'!C96</f>
        <v>0</v>
      </c>
      <c r="D100" s="33">
        <f>'LEARNERS DETAILS'!D96</f>
        <v>0</v>
      </c>
      <c r="E100" s="69">
        <f>'LEARNERS DETAILS'!F96</f>
        <v>0</v>
      </c>
      <c r="F100" s="33" t="b">
        <f t="shared" si="8"/>
        <v>0</v>
      </c>
      <c r="G100" s="33"/>
      <c r="H100" s="33"/>
      <c r="I100" s="33"/>
      <c r="J100" s="33"/>
      <c r="K100" s="33">
        <f t="shared" si="5"/>
        <v>0</v>
      </c>
      <c r="L100" s="33">
        <f t="shared" si="6"/>
        <v>0</v>
      </c>
      <c r="M100" s="33" t="str">
        <f t="shared" si="7"/>
        <v>WITH BAL</v>
      </c>
    </row>
    <row r="101" spans="1:13" ht="15.75" x14ac:dyDescent="0.25">
      <c r="A101" s="33">
        <f>'LEARNERS DETAILS'!A97</f>
        <v>96</v>
      </c>
      <c r="B101" s="33">
        <f>'LEARNERS DETAILS'!B97</f>
        <v>0</v>
      </c>
      <c r="C101" s="33">
        <f>'LEARNERS DETAILS'!C97</f>
        <v>0</v>
      </c>
      <c r="D101" s="33">
        <f>'LEARNERS DETAILS'!D97</f>
        <v>0</v>
      </c>
      <c r="E101" s="69">
        <f>'LEARNERS DETAILS'!F97</f>
        <v>0</v>
      </c>
      <c r="F101" s="33" t="b">
        <f t="shared" si="8"/>
        <v>0</v>
      </c>
      <c r="G101" s="33"/>
      <c r="H101" s="33"/>
      <c r="I101" s="33"/>
      <c r="J101" s="33"/>
      <c r="K101" s="33">
        <f t="shared" si="5"/>
        <v>0</v>
      </c>
      <c r="L101" s="33">
        <f t="shared" si="6"/>
        <v>0</v>
      </c>
      <c r="M101" s="33" t="str">
        <f t="shared" si="7"/>
        <v>WITH BAL</v>
      </c>
    </row>
    <row r="102" spans="1:13" ht="15.75" x14ac:dyDescent="0.25">
      <c r="A102" s="33">
        <f>'LEARNERS DETAILS'!A98</f>
        <v>97</v>
      </c>
      <c r="B102" s="33">
        <f>'LEARNERS DETAILS'!B98</f>
        <v>0</v>
      </c>
      <c r="C102" s="33">
        <f>'LEARNERS DETAILS'!C98</f>
        <v>0</v>
      </c>
      <c r="D102" s="33">
        <f>'LEARNERS DETAILS'!D98</f>
        <v>0</v>
      </c>
      <c r="E102" s="69">
        <f>'LEARNERS DETAILS'!F98</f>
        <v>0</v>
      </c>
      <c r="F102" s="33" t="b">
        <f t="shared" si="8"/>
        <v>0</v>
      </c>
      <c r="G102" s="33"/>
      <c r="H102" s="33"/>
      <c r="I102" s="33"/>
      <c r="J102" s="33"/>
      <c r="K102" s="33">
        <f t="shared" si="5"/>
        <v>0</v>
      </c>
      <c r="L102" s="33">
        <f t="shared" si="6"/>
        <v>0</v>
      </c>
      <c r="M102" s="33" t="str">
        <f t="shared" si="7"/>
        <v>WITH BAL</v>
      </c>
    </row>
    <row r="103" spans="1:13" ht="15.75" x14ac:dyDescent="0.25">
      <c r="A103" s="33">
        <f>'LEARNERS DETAILS'!A99</f>
        <v>98</v>
      </c>
      <c r="B103" s="33">
        <f>'LEARNERS DETAILS'!B99</f>
        <v>0</v>
      </c>
      <c r="C103" s="33">
        <f>'LEARNERS DETAILS'!C99</f>
        <v>0</v>
      </c>
      <c r="D103" s="33">
        <f>'LEARNERS DETAILS'!D99</f>
        <v>0</v>
      </c>
      <c r="E103" s="69">
        <f>'LEARNERS DETAILS'!F99</f>
        <v>0</v>
      </c>
      <c r="F103" s="33" t="b">
        <f t="shared" si="8"/>
        <v>0</v>
      </c>
      <c r="G103" s="33"/>
      <c r="H103" s="33"/>
      <c r="I103" s="33"/>
      <c r="J103" s="33"/>
      <c r="K103" s="33">
        <f t="shared" si="5"/>
        <v>0</v>
      </c>
      <c r="L103" s="33">
        <f t="shared" si="6"/>
        <v>0</v>
      </c>
      <c r="M103" s="33" t="str">
        <f t="shared" si="7"/>
        <v>WITH BAL</v>
      </c>
    </row>
    <row r="104" spans="1:13" ht="15.75" x14ac:dyDescent="0.25">
      <c r="A104" s="33">
        <f>'LEARNERS DETAILS'!A100</f>
        <v>99</v>
      </c>
      <c r="B104" s="33">
        <f>'LEARNERS DETAILS'!B100</f>
        <v>0</v>
      </c>
      <c r="C104" s="33">
        <f>'LEARNERS DETAILS'!C100</f>
        <v>0</v>
      </c>
      <c r="D104" s="33">
        <f>'LEARNERS DETAILS'!D100</f>
        <v>0</v>
      </c>
      <c r="E104" s="69">
        <f>'LEARNERS DETAILS'!F100</f>
        <v>0</v>
      </c>
      <c r="F104" s="33" t="b">
        <f t="shared" si="8"/>
        <v>0</v>
      </c>
      <c r="G104" s="33"/>
      <c r="H104" s="33"/>
      <c r="I104" s="33"/>
      <c r="J104" s="33"/>
      <c r="K104" s="33">
        <f t="shared" si="5"/>
        <v>0</v>
      </c>
      <c r="L104" s="33">
        <f t="shared" si="6"/>
        <v>0</v>
      </c>
      <c r="M104" s="33" t="str">
        <f t="shared" si="7"/>
        <v>WITH BAL</v>
      </c>
    </row>
    <row r="105" spans="1:13" ht="15.75" x14ac:dyDescent="0.25">
      <c r="A105" s="33">
        <f>'LEARNERS DETAILS'!A101</f>
        <v>100</v>
      </c>
      <c r="B105" s="33">
        <f>'LEARNERS DETAILS'!B101</f>
        <v>0</v>
      </c>
      <c r="C105" s="33">
        <f>'LEARNERS DETAILS'!C101</f>
        <v>0</v>
      </c>
      <c r="D105" s="33">
        <f>'LEARNERS DETAILS'!D101</f>
        <v>0</v>
      </c>
      <c r="E105" s="69">
        <f>'LEARNERS DETAILS'!F101</f>
        <v>0</v>
      </c>
      <c r="F105" s="33" t="b">
        <f t="shared" si="8"/>
        <v>0</v>
      </c>
      <c r="G105" s="33"/>
      <c r="H105" s="33"/>
      <c r="I105" s="33"/>
      <c r="J105" s="33"/>
      <c r="K105" s="33">
        <f t="shared" si="5"/>
        <v>0</v>
      </c>
      <c r="L105" s="33">
        <f t="shared" si="6"/>
        <v>0</v>
      </c>
      <c r="M105" s="33" t="str">
        <f t="shared" si="7"/>
        <v>WITH BAL</v>
      </c>
    </row>
    <row r="106" spans="1:13" ht="15.75" x14ac:dyDescent="0.25">
      <c r="A106" s="33">
        <f>'LEARNERS DETAILS'!A102</f>
        <v>101</v>
      </c>
      <c r="B106" s="33">
        <f>'LEARNERS DETAILS'!B102</f>
        <v>0</v>
      </c>
      <c r="C106" s="33">
        <f>'LEARNERS DETAILS'!C102</f>
        <v>0</v>
      </c>
      <c r="D106" s="33">
        <f>'LEARNERS DETAILS'!D102</f>
        <v>0</v>
      </c>
      <c r="E106" s="69">
        <f>'LEARNERS DETAILS'!F102</f>
        <v>0</v>
      </c>
      <c r="F106" s="33" t="b">
        <f t="shared" si="8"/>
        <v>0</v>
      </c>
      <c r="G106" s="33"/>
      <c r="H106" s="33"/>
      <c r="I106" s="33"/>
      <c r="J106" s="33"/>
      <c r="K106" s="33">
        <f t="shared" si="5"/>
        <v>0</v>
      </c>
      <c r="L106" s="33">
        <f t="shared" si="6"/>
        <v>0</v>
      </c>
      <c r="M106" s="33" t="str">
        <f t="shared" si="7"/>
        <v>WITH BAL</v>
      </c>
    </row>
    <row r="107" spans="1:13" ht="15.75" x14ac:dyDescent="0.25">
      <c r="A107" s="33">
        <f>'LEARNERS DETAILS'!A103</f>
        <v>102</v>
      </c>
      <c r="B107" s="33">
        <f>'LEARNERS DETAILS'!B103</f>
        <v>0</v>
      </c>
      <c r="C107" s="33">
        <f>'LEARNERS DETAILS'!C103</f>
        <v>0</v>
      </c>
      <c r="D107" s="33">
        <f>'LEARNERS DETAILS'!D103</f>
        <v>0</v>
      </c>
      <c r="E107" s="69">
        <f>'LEARNERS DETAILS'!F103</f>
        <v>0</v>
      </c>
      <c r="F107" s="33" t="b">
        <f t="shared" si="8"/>
        <v>0</v>
      </c>
      <c r="G107" s="33"/>
      <c r="H107" s="33"/>
      <c r="I107" s="33"/>
      <c r="J107" s="33"/>
      <c r="K107" s="33">
        <f t="shared" si="5"/>
        <v>0</v>
      </c>
      <c r="L107" s="33">
        <f t="shared" si="6"/>
        <v>0</v>
      </c>
      <c r="M107" s="33" t="str">
        <f t="shared" si="7"/>
        <v>WITH BAL</v>
      </c>
    </row>
    <row r="108" spans="1:13" ht="15.75" x14ac:dyDescent="0.25">
      <c r="A108" s="33">
        <f>'LEARNERS DETAILS'!A104</f>
        <v>103</v>
      </c>
      <c r="B108" s="33">
        <f>'LEARNERS DETAILS'!B104</f>
        <v>0</v>
      </c>
      <c r="C108" s="33">
        <f>'LEARNERS DETAILS'!C104</f>
        <v>0</v>
      </c>
      <c r="D108" s="33">
        <f>'LEARNERS DETAILS'!D104</f>
        <v>0</v>
      </c>
      <c r="E108" s="69">
        <f>'LEARNERS DETAILS'!F104</f>
        <v>0</v>
      </c>
      <c r="F108" s="33" t="b">
        <f t="shared" si="8"/>
        <v>0</v>
      </c>
      <c r="G108" s="33"/>
      <c r="H108" s="33"/>
      <c r="I108" s="33"/>
      <c r="J108" s="33"/>
      <c r="K108" s="33">
        <f t="shared" si="5"/>
        <v>0</v>
      </c>
      <c r="L108" s="33">
        <f t="shared" si="6"/>
        <v>0</v>
      </c>
      <c r="M108" s="33" t="str">
        <f t="shared" si="7"/>
        <v>WITH BAL</v>
      </c>
    </row>
    <row r="109" spans="1:13" ht="15.75" x14ac:dyDescent="0.25">
      <c r="A109" s="33">
        <f>'LEARNERS DETAILS'!A105</f>
        <v>104</v>
      </c>
      <c r="B109" s="33">
        <f>'LEARNERS DETAILS'!B105</f>
        <v>0</v>
      </c>
      <c r="C109" s="33">
        <f>'LEARNERS DETAILS'!C105</f>
        <v>0</v>
      </c>
      <c r="D109" s="33">
        <f>'LEARNERS DETAILS'!D105</f>
        <v>0</v>
      </c>
      <c r="E109" s="69">
        <f>'LEARNERS DETAILS'!F105</f>
        <v>0</v>
      </c>
      <c r="F109" s="33" t="b">
        <f t="shared" si="8"/>
        <v>0</v>
      </c>
      <c r="G109" s="33"/>
      <c r="H109" s="33"/>
      <c r="I109" s="33"/>
      <c r="J109" s="33"/>
      <c r="K109" s="33">
        <f t="shared" si="5"/>
        <v>0</v>
      </c>
      <c r="L109" s="33">
        <f t="shared" si="6"/>
        <v>0</v>
      </c>
      <c r="M109" s="33" t="str">
        <f t="shared" si="7"/>
        <v>WITH BAL</v>
      </c>
    </row>
    <row r="110" spans="1:13" ht="15.75" x14ac:dyDescent="0.25">
      <c r="A110" s="33">
        <f>'LEARNERS DETAILS'!A106</f>
        <v>105</v>
      </c>
      <c r="B110" s="33">
        <f>'LEARNERS DETAILS'!B106</f>
        <v>0</v>
      </c>
      <c r="C110" s="33">
        <f>'LEARNERS DETAILS'!C106</f>
        <v>0</v>
      </c>
      <c r="D110" s="33">
        <f>'LEARNERS DETAILS'!D106</f>
        <v>0</v>
      </c>
      <c r="E110" s="69">
        <f>'LEARNERS DETAILS'!F106</f>
        <v>0</v>
      </c>
      <c r="F110" s="33" t="b">
        <f t="shared" si="8"/>
        <v>0</v>
      </c>
      <c r="G110" s="33"/>
      <c r="H110" s="33"/>
      <c r="I110" s="33"/>
      <c r="J110" s="33"/>
      <c r="K110" s="33">
        <f t="shared" si="5"/>
        <v>0</v>
      </c>
      <c r="L110" s="33">
        <f t="shared" si="6"/>
        <v>0</v>
      </c>
      <c r="M110" s="33" t="str">
        <f t="shared" si="7"/>
        <v>WITH BAL</v>
      </c>
    </row>
    <row r="111" spans="1:13" ht="15.75" x14ac:dyDescent="0.25">
      <c r="A111" s="33">
        <f>'LEARNERS DETAILS'!A107</f>
        <v>106</v>
      </c>
      <c r="B111" s="33">
        <f>'LEARNERS DETAILS'!B107</f>
        <v>0</v>
      </c>
      <c r="C111" s="33">
        <f>'LEARNERS DETAILS'!C107</f>
        <v>0</v>
      </c>
      <c r="D111" s="33">
        <f>'LEARNERS DETAILS'!D107</f>
        <v>0</v>
      </c>
      <c r="E111" s="69">
        <f>'LEARNERS DETAILS'!F107</f>
        <v>0</v>
      </c>
      <c r="F111" s="33" t="b">
        <f t="shared" si="8"/>
        <v>0</v>
      </c>
      <c r="G111" s="33"/>
      <c r="H111" s="33"/>
      <c r="I111" s="33"/>
      <c r="J111" s="33"/>
      <c r="K111" s="33">
        <f t="shared" si="5"/>
        <v>0</v>
      </c>
      <c r="L111" s="33">
        <f t="shared" si="6"/>
        <v>0</v>
      </c>
      <c r="M111" s="33" t="str">
        <f t="shared" si="7"/>
        <v>WITH BAL</v>
      </c>
    </row>
    <row r="112" spans="1:13" ht="15.75" x14ac:dyDescent="0.25">
      <c r="A112" s="33">
        <f>'LEARNERS DETAILS'!A108</f>
        <v>107</v>
      </c>
      <c r="B112" s="33">
        <f>'LEARNERS DETAILS'!B108</f>
        <v>0</v>
      </c>
      <c r="C112" s="33">
        <f>'LEARNERS DETAILS'!C108</f>
        <v>0</v>
      </c>
      <c r="D112" s="33">
        <f>'LEARNERS DETAILS'!D108</f>
        <v>0</v>
      </c>
      <c r="E112" s="69">
        <f>'LEARNERS DETAILS'!F108</f>
        <v>0</v>
      </c>
      <c r="F112" s="33" t="b">
        <f t="shared" si="8"/>
        <v>0</v>
      </c>
      <c r="G112" s="33"/>
      <c r="H112" s="33"/>
      <c r="I112" s="33"/>
      <c r="J112" s="33"/>
      <c r="K112" s="33">
        <f t="shared" si="5"/>
        <v>0</v>
      </c>
      <c r="L112" s="33">
        <f t="shared" si="6"/>
        <v>0</v>
      </c>
      <c r="M112" s="33" t="str">
        <f t="shared" si="7"/>
        <v>WITH BAL</v>
      </c>
    </row>
    <row r="113" spans="1:13" ht="15.75" x14ac:dyDescent="0.25">
      <c r="A113" s="33">
        <f>'LEARNERS DETAILS'!A109</f>
        <v>108</v>
      </c>
      <c r="B113" s="33">
        <f>'LEARNERS DETAILS'!B109</f>
        <v>0</v>
      </c>
      <c r="C113" s="33">
        <f>'LEARNERS DETAILS'!C109</f>
        <v>0</v>
      </c>
      <c r="D113" s="33">
        <f>'LEARNERS DETAILS'!D109</f>
        <v>0</v>
      </c>
      <c r="E113" s="69">
        <f>'LEARNERS DETAILS'!F109</f>
        <v>0</v>
      </c>
      <c r="F113" s="33" t="b">
        <f t="shared" si="8"/>
        <v>0</v>
      </c>
      <c r="G113" s="33"/>
      <c r="H113" s="33"/>
      <c r="I113" s="33"/>
      <c r="J113" s="33"/>
      <c r="K113" s="33">
        <f t="shared" si="5"/>
        <v>0</v>
      </c>
      <c r="L113" s="33">
        <f t="shared" si="6"/>
        <v>0</v>
      </c>
      <c r="M113" s="33" t="str">
        <f t="shared" si="7"/>
        <v>WITH BAL</v>
      </c>
    </row>
    <row r="114" spans="1:13" ht="15.75" x14ac:dyDescent="0.25">
      <c r="A114" s="33">
        <f>'LEARNERS DETAILS'!A110</f>
        <v>109</v>
      </c>
      <c r="B114" s="33">
        <f>'LEARNERS DETAILS'!B110</f>
        <v>0</v>
      </c>
      <c r="C114" s="33">
        <f>'LEARNERS DETAILS'!C110</f>
        <v>0</v>
      </c>
      <c r="D114" s="33">
        <f>'LEARNERS DETAILS'!D110</f>
        <v>0</v>
      </c>
      <c r="E114" s="69">
        <f>'LEARNERS DETAILS'!F110</f>
        <v>0</v>
      </c>
      <c r="F114" s="33" t="b">
        <f t="shared" si="8"/>
        <v>0</v>
      </c>
      <c r="G114" s="33"/>
      <c r="H114" s="33"/>
      <c r="I114" s="33"/>
      <c r="J114" s="33"/>
      <c r="K114" s="33">
        <f t="shared" si="5"/>
        <v>0</v>
      </c>
      <c r="L114" s="33">
        <f t="shared" si="6"/>
        <v>0</v>
      </c>
      <c r="M114" s="33" t="str">
        <f t="shared" si="7"/>
        <v>WITH BAL</v>
      </c>
    </row>
    <row r="115" spans="1:13" ht="15.75" x14ac:dyDescent="0.25">
      <c r="A115" s="33">
        <f>'LEARNERS DETAILS'!A111</f>
        <v>110</v>
      </c>
      <c r="B115" s="33">
        <f>'LEARNERS DETAILS'!B111</f>
        <v>0</v>
      </c>
      <c r="C115" s="33">
        <f>'LEARNERS DETAILS'!C111</f>
        <v>0</v>
      </c>
      <c r="D115" s="33">
        <f>'LEARNERS DETAILS'!D111</f>
        <v>0</v>
      </c>
      <c r="E115" s="69">
        <f>'LEARNERS DETAILS'!F111</f>
        <v>0</v>
      </c>
      <c r="F115" s="33" t="b">
        <f t="shared" si="8"/>
        <v>0</v>
      </c>
      <c r="G115" s="33"/>
      <c r="H115" s="33"/>
      <c r="I115" s="33"/>
      <c r="J115" s="33"/>
      <c r="K115" s="33">
        <f t="shared" si="5"/>
        <v>0</v>
      </c>
      <c r="L115" s="33">
        <f t="shared" si="6"/>
        <v>0</v>
      </c>
      <c r="M115" s="33" t="str">
        <f t="shared" si="7"/>
        <v>WITH BAL</v>
      </c>
    </row>
    <row r="116" spans="1:13" ht="15.75" x14ac:dyDescent="0.25">
      <c r="A116" s="33">
        <f>'LEARNERS DETAILS'!A112</f>
        <v>111</v>
      </c>
      <c r="B116" s="33">
        <f>'LEARNERS DETAILS'!B112</f>
        <v>0</v>
      </c>
      <c r="C116" s="33">
        <f>'LEARNERS DETAILS'!C112</f>
        <v>0</v>
      </c>
      <c r="D116" s="33">
        <f>'LEARNERS DETAILS'!D112</f>
        <v>0</v>
      </c>
      <c r="E116" s="69">
        <f>'LEARNERS DETAILS'!F112</f>
        <v>0</v>
      </c>
      <c r="F116" s="33" t="b">
        <f t="shared" si="8"/>
        <v>0</v>
      </c>
      <c r="G116" s="33"/>
      <c r="H116" s="33"/>
      <c r="I116" s="33"/>
      <c r="J116" s="33"/>
      <c r="K116" s="33">
        <f t="shared" si="5"/>
        <v>0</v>
      </c>
      <c r="L116" s="33">
        <f t="shared" si="6"/>
        <v>0</v>
      </c>
      <c r="M116" s="33" t="str">
        <f t="shared" si="7"/>
        <v>WITH BAL</v>
      </c>
    </row>
    <row r="117" spans="1:13" ht="15.75" x14ac:dyDescent="0.25">
      <c r="A117" s="33">
        <f>'LEARNERS DETAILS'!A113</f>
        <v>112</v>
      </c>
      <c r="B117" s="33">
        <f>'LEARNERS DETAILS'!B113</f>
        <v>0</v>
      </c>
      <c r="C117" s="33">
        <f>'LEARNERS DETAILS'!C113</f>
        <v>0</v>
      </c>
      <c r="D117" s="33">
        <f>'LEARNERS DETAILS'!D113</f>
        <v>0</v>
      </c>
      <c r="E117" s="69">
        <f>'LEARNERS DETAILS'!F113</f>
        <v>0</v>
      </c>
      <c r="F117" s="33" t="b">
        <f t="shared" si="8"/>
        <v>0</v>
      </c>
      <c r="G117" s="33"/>
      <c r="H117" s="33"/>
      <c r="I117" s="33"/>
      <c r="J117" s="33"/>
      <c r="K117" s="33">
        <f t="shared" si="5"/>
        <v>0</v>
      </c>
      <c r="L117" s="33">
        <f t="shared" si="6"/>
        <v>0</v>
      </c>
      <c r="M117" s="33" t="str">
        <f t="shared" si="7"/>
        <v>WITH BAL</v>
      </c>
    </row>
    <row r="118" spans="1:13" ht="15.75" x14ac:dyDescent="0.25">
      <c r="A118" s="33">
        <f>'LEARNERS DETAILS'!A114</f>
        <v>113</v>
      </c>
      <c r="B118" s="33">
        <f>'LEARNERS DETAILS'!B114</f>
        <v>0</v>
      </c>
      <c r="C118" s="33">
        <f>'LEARNERS DETAILS'!C114</f>
        <v>0</v>
      </c>
      <c r="D118" s="33">
        <f>'LEARNERS DETAILS'!D114</f>
        <v>0</v>
      </c>
      <c r="E118" s="69">
        <f>'LEARNERS DETAILS'!F114</f>
        <v>0</v>
      </c>
      <c r="F118" s="33" t="b">
        <f t="shared" si="8"/>
        <v>0</v>
      </c>
      <c r="G118" s="33"/>
      <c r="H118" s="33"/>
      <c r="I118" s="33"/>
      <c r="J118" s="33"/>
      <c r="K118" s="33">
        <f t="shared" si="5"/>
        <v>0</v>
      </c>
      <c r="L118" s="33">
        <f t="shared" si="6"/>
        <v>0</v>
      </c>
      <c r="M118" s="33" t="str">
        <f t="shared" si="7"/>
        <v>WITH BAL</v>
      </c>
    </row>
    <row r="119" spans="1:13" ht="15.75" x14ac:dyDescent="0.25">
      <c r="A119" s="33">
        <f>'LEARNERS DETAILS'!A115</f>
        <v>114</v>
      </c>
      <c r="B119" s="33">
        <f>'LEARNERS DETAILS'!B115</f>
        <v>0</v>
      </c>
      <c r="C119" s="33">
        <f>'LEARNERS DETAILS'!C115</f>
        <v>0</v>
      </c>
      <c r="D119" s="33">
        <f>'LEARNERS DETAILS'!D115</f>
        <v>0</v>
      </c>
      <c r="E119" s="69">
        <f>'LEARNERS DETAILS'!F115</f>
        <v>0</v>
      </c>
      <c r="F119" s="33" t="b">
        <f t="shared" si="8"/>
        <v>0</v>
      </c>
      <c r="G119" s="33"/>
      <c r="H119" s="33"/>
      <c r="I119" s="33"/>
      <c r="J119" s="33"/>
      <c r="K119" s="33">
        <f t="shared" si="5"/>
        <v>0</v>
      </c>
      <c r="L119" s="33">
        <f t="shared" si="6"/>
        <v>0</v>
      </c>
      <c r="M119" s="33" t="str">
        <f t="shared" si="7"/>
        <v>WITH BAL</v>
      </c>
    </row>
    <row r="120" spans="1:13" ht="15.75" x14ac:dyDescent="0.25">
      <c r="A120" s="33">
        <f>'LEARNERS DETAILS'!A116</f>
        <v>115</v>
      </c>
      <c r="B120" s="33">
        <f>'LEARNERS DETAILS'!B116</f>
        <v>0</v>
      </c>
      <c r="C120" s="33">
        <f>'LEARNERS DETAILS'!C116</f>
        <v>0</v>
      </c>
      <c r="D120" s="33">
        <f>'LEARNERS DETAILS'!D116</f>
        <v>0</v>
      </c>
      <c r="E120" s="69">
        <f>'LEARNERS DETAILS'!F116</f>
        <v>0</v>
      </c>
      <c r="F120" s="33" t="b">
        <f t="shared" si="8"/>
        <v>0</v>
      </c>
      <c r="G120" s="33"/>
      <c r="H120" s="33"/>
      <c r="I120" s="33"/>
      <c r="J120" s="33"/>
      <c r="K120" s="33">
        <f t="shared" si="5"/>
        <v>0</v>
      </c>
      <c r="L120" s="33">
        <f t="shared" si="6"/>
        <v>0</v>
      </c>
      <c r="M120" s="33" t="str">
        <f t="shared" si="7"/>
        <v>WITH BAL</v>
      </c>
    </row>
    <row r="121" spans="1:13" ht="15.75" x14ac:dyDescent="0.25">
      <c r="A121" s="33">
        <f>'LEARNERS DETAILS'!A117</f>
        <v>116</v>
      </c>
      <c r="B121" s="33">
        <f>'LEARNERS DETAILS'!B117</f>
        <v>0</v>
      </c>
      <c r="C121" s="33">
        <f>'LEARNERS DETAILS'!C117</f>
        <v>0</v>
      </c>
      <c r="D121" s="33">
        <f>'LEARNERS DETAILS'!D117</f>
        <v>0</v>
      </c>
      <c r="E121" s="69">
        <f>'LEARNERS DETAILS'!F117</f>
        <v>0</v>
      </c>
      <c r="F121" s="33" t="b">
        <f t="shared" si="8"/>
        <v>0</v>
      </c>
      <c r="G121" s="33"/>
      <c r="H121" s="33"/>
      <c r="I121" s="33"/>
      <c r="J121" s="33"/>
      <c r="K121" s="33">
        <f t="shared" si="5"/>
        <v>0</v>
      </c>
      <c r="L121" s="33">
        <f t="shared" si="6"/>
        <v>0</v>
      </c>
      <c r="M121" s="33" t="str">
        <f t="shared" si="7"/>
        <v>WITH BAL</v>
      </c>
    </row>
    <row r="122" spans="1:13" ht="15.75" x14ac:dyDescent="0.25">
      <c r="A122" s="33">
        <f>'LEARNERS DETAILS'!A118</f>
        <v>117</v>
      </c>
      <c r="B122" s="33">
        <f>'LEARNERS DETAILS'!B118</f>
        <v>0</v>
      </c>
      <c r="C122" s="33">
        <f>'LEARNERS DETAILS'!C118</f>
        <v>0</v>
      </c>
      <c r="D122" s="33">
        <f>'LEARNERS DETAILS'!D118</f>
        <v>0</v>
      </c>
      <c r="E122" s="69">
        <f>'LEARNERS DETAILS'!F118</f>
        <v>0</v>
      </c>
      <c r="F122" s="33" t="b">
        <f t="shared" si="8"/>
        <v>0</v>
      </c>
      <c r="G122" s="33"/>
      <c r="H122" s="33"/>
      <c r="I122" s="33"/>
      <c r="J122" s="33"/>
      <c r="K122" s="33">
        <f t="shared" si="5"/>
        <v>0</v>
      </c>
      <c r="L122" s="33">
        <f t="shared" si="6"/>
        <v>0</v>
      </c>
      <c r="M122" s="33" t="str">
        <f t="shared" si="7"/>
        <v>WITH BAL</v>
      </c>
    </row>
    <row r="123" spans="1:13" ht="15.75" x14ac:dyDescent="0.25">
      <c r="A123" s="33">
        <f>'LEARNERS DETAILS'!A119</f>
        <v>118</v>
      </c>
      <c r="B123" s="33">
        <f>'LEARNERS DETAILS'!B119</f>
        <v>0</v>
      </c>
      <c r="C123" s="33">
        <f>'LEARNERS DETAILS'!C119</f>
        <v>0</v>
      </c>
      <c r="D123" s="33">
        <f>'LEARNERS DETAILS'!D119</f>
        <v>0</v>
      </c>
      <c r="E123" s="69">
        <f>'LEARNERS DETAILS'!F119</f>
        <v>0</v>
      </c>
      <c r="F123" s="33" t="b">
        <f t="shared" si="8"/>
        <v>0</v>
      </c>
      <c r="G123" s="33"/>
      <c r="H123" s="33"/>
      <c r="I123" s="33"/>
      <c r="J123" s="33"/>
      <c r="K123" s="33">
        <f t="shared" si="5"/>
        <v>0</v>
      </c>
      <c r="L123" s="33">
        <f t="shared" si="6"/>
        <v>0</v>
      </c>
      <c r="M123" s="33" t="str">
        <f t="shared" si="7"/>
        <v>WITH BAL</v>
      </c>
    </row>
    <row r="124" spans="1:13" ht="15.75" x14ac:dyDescent="0.25">
      <c r="A124" s="33">
        <f>'LEARNERS DETAILS'!A120</f>
        <v>119</v>
      </c>
      <c r="B124" s="33">
        <f>'LEARNERS DETAILS'!B120</f>
        <v>0</v>
      </c>
      <c r="C124" s="33">
        <f>'LEARNERS DETAILS'!C120</f>
        <v>0</v>
      </c>
      <c r="D124" s="33">
        <f>'LEARNERS DETAILS'!D120</f>
        <v>0</v>
      </c>
      <c r="E124" s="69">
        <f>'LEARNERS DETAILS'!F120</f>
        <v>0</v>
      </c>
      <c r="F124" s="33" t="b">
        <f t="shared" si="8"/>
        <v>0</v>
      </c>
      <c r="G124" s="33"/>
      <c r="H124" s="33"/>
      <c r="I124" s="33"/>
      <c r="J124" s="33"/>
      <c r="K124" s="33">
        <f t="shared" si="5"/>
        <v>0</v>
      </c>
      <c r="L124" s="33">
        <f t="shared" si="6"/>
        <v>0</v>
      </c>
      <c r="M124" s="33" t="str">
        <f t="shared" si="7"/>
        <v>WITH BAL</v>
      </c>
    </row>
    <row r="125" spans="1:13" ht="15.75" x14ac:dyDescent="0.25">
      <c r="A125" s="33">
        <f>'LEARNERS DETAILS'!A121</f>
        <v>120</v>
      </c>
      <c r="B125" s="33">
        <f>'LEARNERS DETAILS'!B121</f>
        <v>0</v>
      </c>
      <c r="C125" s="33">
        <f>'LEARNERS DETAILS'!C121</f>
        <v>0</v>
      </c>
      <c r="D125" s="33">
        <f>'LEARNERS DETAILS'!D121</f>
        <v>0</v>
      </c>
      <c r="E125" s="69">
        <f>'LEARNERS DETAILS'!F121</f>
        <v>0</v>
      </c>
      <c r="F125" s="33" t="b">
        <f t="shared" si="8"/>
        <v>0</v>
      </c>
      <c r="G125" s="33"/>
      <c r="H125" s="33"/>
      <c r="I125" s="33"/>
      <c r="J125" s="33"/>
      <c r="K125" s="33">
        <f t="shared" si="5"/>
        <v>0</v>
      </c>
      <c r="L125" s="33">
        <f t="shared" si="6"/>
        <v>0</v>
      </c>
      <c r="M125" s="33" t="str">
        <f t="shared" si="7"/>
        <v>WITH BAL</v>
      </c>
    </row>
    <row r="126" spans="1:13" ht="15.75" x14ac:dyDescent="0.25">
      <c r="A126" s="33">
        <f>'LEARNERS DETAILS'!A122</f>
        <v>121</v>
      </c>
      <c r="B126" s="33">
        <f>'LEARNERS DETAILS'!B122</f>
        <v>0</v>
      </c>
      <c r="C126" s="33">
        <f>'LEARNERS DETAILS'!C122</f>
        <v>0</v>
      </c>
      <c r="D126" s="33">
        <f>'LEARNERS DETAILS'!D122</f>
        <v>0</v>
      </c>
      <c r="E126" s="69">
        <f>'LEARNERS DETAILS'!F122</f>
        <v>0</v>
      </c>
      <c r="F126" s="33" t="b">
        <f t="shared" si="8"/>
        <v>0</v>
      </c>
      <c r="G126" s="33"/>
      <c r="H126" s="33"/>
      <c r="I126" s="33"/>
      <c r="J126" s="33"/>
      <c r="K126" s="33">
        <f t="shared" si="5"/>
        <v>0</v>
      </c>
      <c r="L126" s="33">
        <f t="shared" si="6"/>
        <v>0</v>
      </c>
      <c r="M126" s="33" t="str">
        <f t="shared" si="7"/>
        <v>WITH BAL</v>
      </c>
    </row>
    <row r="127" spans="1:13" ht="15.75" x14ac:dyDescent="0.25">
      <c r="A127" s="33">
        <f>'LEARNERS DETAILS'!A123</f>
        <v>122</v>
      </c>
      <c r="B127" s="33">
        <f>'LEARNERS DETAILS'!B123</f>
        <v>0</v>
      </c>
      <c r="C127" s="33">
        <f>'LEARNERS DETAILS'!C123</f>
        <v>0</v>
      </c>
      <c r="D127" s="33">
        <f>'LEARNERS DETAILS'!D123</f>
        <v>0</v>
      </c>
      <c r="E127" s="69">
        <f>'LEARNERS DETAILS'!F123</f>
        <v>0</v>
      </c>
      <c r="F127" s="33" t="b">
        <f t="shared" si="8"/>
        <v>0</v>
      </c>
      <c r="G127" s="33"/>
      <c r="H127" s="33"/>
      <c r="I127" s="33"/>
      <c r="J127" s="33"/>
      <c r="K127" s="33">
        <f t="shared" si="5"/>
        <v>0</v>
      </c>
      <c r="L127" s="33">
        <f t="shared" si="6"/>
        <v>0</v>
      </c>
      <c r="M127" s="33" t="str">
        <f t="shared" si="7"/>
        <v>WITH BAL</v>
      </c>
    </row>
    <row r="128" spans="1:13" ht="15.75" x14ac:dyDescent="0.25">
      <c r="A128" s="33">
        <f>'LEARNERS DETAILS'!A124</f>
        <v>123</v>
      </c>
      <c r="B128" s="33">
        <f>'LEARNERS DETAILS'!B124</f>
        <v>0</v>
      </c>
      <c r="C128" s="33">
        <f>'LEARNERS DETAILS'!C124</f>
        <v>0</v>
      </c>
      <c r="D128" s="33">
        <f>'LEARNERS DETAILS'!D124</f>
        <v>0</v>
      </c>
      <c r="E128" s="69">
        <f>'LEARNERS DETAILS'!F124</f>
        <v>0</v>
      </c>
      <c r="F128" s="33" t="b">
        <f t="shared" si="8"/>
        <v>0</v>
      </c>
      <c r="G128" s="33"/>
      <c r="H128" s="33"/>
      <c r="I128" s="33"/>
      <c r="J128" s="33"/>
      <c r="K128" s="33">
        <f t="shared" si="5"/>
        <v>0</v>
      </c>
      <c r="L128" s="33">
        <f t="shared" si="6"/>
        <v>0</v>
      </c>
      <c r="M128" s="33" t="str">
        <f t="shared" si="7"/>
        <v>WITH BAL</v>
      </c>
    </row>
    <row r="129" spans="1:13" ht="15.75" x14ac:dyDescent="0.25">
      <c r="A129" s="33">
        <f>'LEARNERS DETAILS'!A125</f>
        <v>124</v>
      </c>
      <c r="B129" s="33">
        <f>'LEARNERS DETAILS'!B125</f>
        <v>0</v>
      </c>
      <c r="C129" s="33">
        <f>'LEARNERS DETAILS'!C125</f>
        <v>0</v>
      </c>
      <c r="D129" s="33">
        <f>'LEARNERS DETAILS'!D125</f>
        <v>0</v>
      </c>
      <c r="E129" s="69">
        <f>'LEARNERS DETAILS'!F125</f>
        <v>0</v>
      </c>
      <c r="F129" s="33" t="b">
        <f t="shared" si="8"/>
        <v>0</v>
      </c>
      <c r="G129" s="33"/>
      <c r="H129" s="33"/>
      <c r="I129" s="33"/>
      <c r="J129" s="33"/>
      <c r="K129" s="33">
        <f t="shared" si="5"/>
        <v>0</v>
      </c>
      <c r="L129" s="33">
        <f t="shared" si="6"/>
        <v>0</v>
      </c>
      <c r="M129" s="33" t="str">
        <f t="shared" si="7"/>
        <v>WITH BAL</v>
      </c>
    </row>
    <row r="130" spans="1:13" ht="15.75" x14ac:dyDescent="0.25">
      <c r="A130" s="33">
        <f>'LEARNERS DETAILS'!A126</f>
        <v>125</v>
      </c>
      <c r="B130" s="33">
        <f>'LEARNERS DETAILS'!B126</f>
        <v>0</v>
      </c>
      <c r="C130" s="33">
        <f>'LEARNERS DETAILS'!C126</f>
        <v>0</v>
      </c>
      <c r="D130" s="33">
        <f>'LEARNERS DETAILS'!D126</f>
        <v>0</v>
      </c>
      <c r="E130" s="69">
        <f>'LEARNERS DETAILS'!F126</f>
        <v>0</v>
      </c>
      <c r="F130" s="33" t="b">
        <f t="shared" si="8"/>
        <v>0</v>
      </c>
      <c r="G130" s="33"/>
      <c r="H130" s="33"/>
      <c r="I130" s="33"/>
      <c r="J130" s="33"/>
      <c r="K130" s="33">
        <f t="shared" si="5"/>
        <v>0</v>
      </c>
      <c r="L130" s="33">
        <f t="shared" si="6"/>
        <v>0</v>
      </c>
      <c r="M130" s="33" t="str">
        <f t="shared" si="7"/>
        <v>WITH BAL</v>
      </c>
    </row>
    <row r="131" spans="1:13" ht="15.75" x14ac:dyDescent="0.25">
      <c r="A131" s="33">
        <f>'LEARNERS DETAILS'!A127</f>
        <v>126</v>
      </c>
      <c r="B131" s="33">
        <f>'LEARNERS DETAILS'!B127</f>
        <v>0</v>
      </c>
      <c r="C131" s="33">
        <f>'LEARNERS DETAILS'!C127</f>
        <v>0</v>
      </c>
      <c r="D131" s="33">
        <f>'LEARNERS DETAILS'!D127</f>
        <v>0</v>
      </c>
      <c r="E131" s="69">
        <f>'LEARNERS DETAILS'!F127</f>
        <v>0</v>
      </c>
      <c r="F131" s="33" t="b">
        <f t="shared" si="8"/>
        <v>0</v>
      </c>
      <c r="G131" s="33"/>
      <c r="H131" s="33"/>
      <c r="I131" s="33"/>
      <c r="J131" s="33"/>
      <c r="K131" s="33">
        <f t="shared" si="5"/>
        <v>0</v>
      </c>
      <c r="L131" s="33">
        <f t="shared" si="6"/>
        <v>0</v>
      </c>
      <c r="M131" s="33" t="str">
        <f t="shared" si="7"/>
        <v>WITH BAL</v>
      </c>
    </row>
    <row r="132" spans="1:13" ht="15.75" x14ac:dyDescent="0.25">
      <c r="A132" s="33">
        <f>'LEARNERS DETAILS'!A128</f>
        <v>127</v>
      </c>
      <c r="B132" s="33">
        <f>'LEARNERS DETAILS'!B128</f>
        <v>0</v>
      </c>
      <c r="C132" s="33">
        <f>'LEARNERS DETAILS'!C128</f>
        <v>0</v>
      </c>
      <c r="D132" s="33">
        <f>'LEARNERS DETAILS'!D128</f>
        <v>0</v>
      </c>
      <c r="E132" s="69">
        <f>'LEARNERS DETAILS'!F128</f>
        <v>0</v>
      </c>
      <c r="F132" s="33" t="b">
        <f t="shared" si="8"/>
        <v>0</v>
      </c>
      <c r="G132" s="33"/>
      <c r="H132" s="33"/>
      <c r="I132" s="33"/>
      <c r="J132" s="33"/>
      <c r="K132" s="33">
        <f t="shared" si="5"/>
        <v>0</v>
      </c>
      <c r="L132" s="33">
        <f t="shared" si="6"/>
        <v>0</v>
      </c>
      <c r="M132" s="33" t="str">
        <f t="shared" si="7"/>
        <v>WITH BAL</v>
      </c>
    </row>
    <row r="133" spans="1:13" ht="15.75" x14ac:dyDescent="0.25">
      <c r="A133" s="33">
        <f>'LEARNERS DETAILS'!A129</f>
        <v>128</v>
      </c>
      <c r="B133" s="33">
        <f>'LEARNERS DETAILS'!B129</f>
        <v>0</v>
      </c>
      <c r="C133" s="33">
        <f>'LEARNERS DETAILS'!C129</f>
        <v>0</v>
      </c>
      <c r="D133" s="33">
        <f>'LEARNERS DETAILS'!D129</f>
        <v>0</v>
      </c>
      <c r="E133" s="69">
        <f>'LEARNERS DETAILS'!F129</f>
        <v>0</v>
      </c>
      <c r="F133" s="33" t="b">
        <f t="shared" si="8"/>
        <v>0</v>
      </c>
      <c r="G133" s="33"/>
      <c r="H133" s="33"/>
      <c r="I133" s="33"/>
      <c r="J133" s="33"/>
      <c r="K133" s="33">
        <f t="shared" si="5"/>
        <v>0</v>
      </c>
      <c r="L133" s="33">
        <f t="shared" si="6"/>
        <v>0</v>
      </c>
      <c r="M133" s="33" t="str">
        <f t="shared" si="7"/>
        <v>WITH BAL</v>
      </c>
    </row>
    <row r="134" spans="1:13" ht="15.75" x14ac:dyDescent="0.25">
      <c r="A134" s="33">
        <f>'LEARNERS DETAILS'!A130</f>
        <v>129</v>
      </c>
      <c r="B134" s="33">
        <f>'LEARNERS DETAILS'!B130</f>
        <v>0</v>
      </c>
      <c r="C134" s="33">
        <f>'LEARNERS DETAILS'!C130</f>
        <v>0</v>
      </c>
      <c r="D134" s="33">
        <f>'LEARNERS DETAILS'!D130</f>
        <v>0</v>
      </c>
      <c r="E134" s="69">
        <f>'LEARNERS DETAILS'!F130</f>
        <v>0</v>
      </c>
      <c r="F134" s="33" t="b">
        <f t="shared" si="8"/>
        <v>0</v>
      </c>
      <c r="G134" s="33"/>
      <c r="H134" s="33"/>
      <c r="I134" s="33"/>
      <c r="J134" s="33"/>
      <c r="K134" s="33">
        <f t="shared" si="5"/>
        <v>0</v>
      </c>
      <c r="L134" s="33">
        <f t="shared" si="6"/>
        <v>0</v>
      </c>
      <c r="M134" s="33" t="str">
        <f t="shared" si="7"/>
        <v>WITH BAL</v>
      </c>
    </row>
    <row r="135" spans="1:13" ht="15.75" x14ac:dyDescent="0.25">
      <c r="A135" s="33">
        <f>'LEARNERS DETAILS'!A131</f>
        <v>130</v>
      </c>
      <c r="B135" s="33">
        <f>'LEARNERS DETAILS'!B131</f>
        <v>0</v>
      </c>
      <c r="C135" s="33">
        <f>'LEARNERS DETAILS'!C131</f>
        <v>0</v>
      </c>
      <c r="D135" s="33">
        <f>'LEARNERS DETAILS'!D131</f>
        <v>0</v>
      </c>
      <c r="E135" s="69">
        <f>'LEARNERS DETAILS'!F131</f>
        <v>0</v>
      </c>
      <c r="F135" s="33" t="b">
        <f t="shared" si="8"/>
        <v>0</v>
      </c>
      <c r="G135" s="33"/>
      <c r="H135" s="33"/>
      <c r="I135" s="33"/>
      <c r="J135" s="33"/>
      <c r="K135" s="33">
        <f t="shared" ref="K135:K198" si="9">SUM(G135:J135)</f>
        <v>0</v>
      </c>
      <c r="L135" s="33">
        <f t="shared" ref="L135:L198" si="10">F135-K135</f>
        <v>0</v>
      </c>
      <c r="M135" s="33" t="str">
        <f t="shared" ref="M135:M198" si="11">IF(K135&gt;=F135,"CLEARED",IF(K135&lt;F135,"WITH BAL","FALSE"))</f>
        <v>WITH BAL</v>
      </c>
    </row>
    <row r="136" spans="1:13" ht="15.75" x14ac:dyDescent="0.25">
      <c r="A136" s="33">
        <f>'LEARNERS DETAILS'!A132</f>
        <v>131</v>
      </c>
      <c r="B136" s="33">
        <f>'LEARNERS DETAILS'!B132</f>
        <v>0</v>
      </c>
      <c r="C136" s="33">
        <f>'LEARNERS DETAILS'!C132</f>
        <v>0</v>
      </c>
      <c r="D136" s="33">
        <f>'LEARNERS DETAILS'!D132</f>
        <v>0</v>
      </c>
      <c r="E136" s="69">
        <f>'LEARNERS DETAILS'!F132</f>
        <v>0</v>
      </c>
      <c r="F136" s="33" t="b">
        <f t="shared" ref="F136:F199" si="12">IF(C136="GRADE 1",1000,IF(C136="GRADE 2",2000,IF(C136="GRADE 3",3000,IF(C136="GRADE 4",4000,IF(C136="GRADE 5",4000,IF(C136="GRADE 6",5000,IF(C136="GRADE 7",6000,IF(C136="GRADE 8",7000,IF(C136="GRADE 9",8000,IF(C136="GRADE 10",9000,IF(C136="GRADE 11",10000,IF(C136="GRADE 12",11000))))))))))))</f>
        <v>0</v>
      </c>
      <c r="G136" s="33"/>
      <c r="H136" s="33"/>
      <c r="I136" s="33"/>
      <c r="J136" s="33"/>
      <c r="K136" s="33">
        <f t="shared" si="9"/>
        <v>0</v>
      </c>
      <c r="L136" s="33">
        <f t="shared" si="10"/>
        <v>0</v>
      </c>
      <c r="M136" s="33" t="str">
        <f t="shared" si="11"/>
        <v>WITH BAL</v>
      </c>
    </row>
    <row r="137" spans="1:13" ht="15.75" x14ac:dyDescent="0.25">
      <c r="A137" s="33">
        <f>'LEARNERS DETAILS'!A133</f>
        <v>132</v>
      </c>
      <c r="B137" s="33">
        <f>'LEARNERS DETAILS'!B133</f>
        <v>0</v>
      </c>
      <c r="C137" s="33">
        <f>'LEARNERS DETAILS'!C133</f>
        <v>0</v>
      </c>
      <c r="D137" s="33">
        <f>'LEARNERS DETAILS'!D133</f>
        <v>0</v>
      </c>
      <c r="E137" s="69">
        <f>'LEARNERS DETAILS'!F133</f>
        <v>0</v>
      </c>
      <c r="F137" s="33" t="b">
        <f t="shared" si="12"/>
        <v>0</v>
      </c>
      <c r="G137" s="33"/>
      <c r="H137" s="33"/>
      <c r="I137" s="33"/>
      <c r="J137" s="33"/>
      <c r="K137" s="33">
        <f t="shared" si="9"/>
        <v>0</v>
      </c>
      <c r="L137" s="33">
        <f t="shared" si="10"/>
        <v>0</v>
      </c>
      <c r="M137" s="33" t="str">
        <f t="shared" si="11"/>
        <v>WITH BAL</v>
      </c>
    </row>
    <row r="138" spans="1:13" ht="15.75" x14ac:dyDescent="0.25">
      <c r="A138" s="33">
        <f>'LEARNERS DETAILS'!A134</f>
        <v>133</v>
      </c>
      <c r="B138" s="33">
        <f>'LEARNERS DETAILS'!B134</f>
        <v>0</v>
      </c>
      <c r="C138" s="33">
        <f>'LEARNERS DETAILS'!C134</f>
        <v>0</v>
      </c>
      <c r="D138" s="33">
        <f>'LEARNERS DETAILS'!D134</f>
        <v>0</v>
      </c>
      <c r="E138" s="69">
        <f>'LEARNERS DETAILS'!F134</f>
        <v>0</v>
      </c>
      <c r="F138" s="33" t="b">
        <f t="shared" si="12"/>
        <v>0</v>
      </c>
      <c r="G138" s="33"/>
      <c r="H138" s="33"/>
      <c r="I138" s="33"/>
      <c r="J138" s="33"/>
      <c r="K138" s="33">
        <f t="shared" si="9"/>
        <v>0</v>
      </c>
      <c r="L138" s="33">
        <f t="shared" si="10"/>
        <v>0</v>
      </c>
      <c r="M138" s="33" t="str">
        <f t="shared" si="11"/>
        <v>WITH BAL</v>
      </c>
    </row>
    <row r="139" spans="1:13" ht="15.75" x14ac:dyDescent="0.25">
      <c r="A139" s="33">
        <f>'LEARNERS DETAILS'!A135</f>
        <v>134</v>
      </c>
      <c r="B139" s="33">
        <f>'LEARNERS DETAILS'!B135</f>
        <v>0</v>
      </c>
      <c r="C139" s="33">
        <f>'LEARNERS DETAILS'!C135</f>
        <v>0</v>
      </c>
      <c r="D139" s="33">
        <f>'LEARNERS DETAILS'!D135</f>
        <v>0</v>
      </c>
      <c r="E139" s="69">
        <f>'LEARNERS DETAILS'!F135</f>
        <v>0</v>
      </c>
      <c r="F139" s="33" t="b">
        <f t="shared" si="12"/>
        <v>0</v>
      </c>
      <c r="G139" s="33"/>
      <c r="H139" s="33"/>
      <c r="I139" s="33"/>
      <c r="J139" s="33"/>
      <c r="K139" s="33">
        <f t="shared" si="9"/>
        <v>0</v>
      </c>
      <c r="L139" s="33">
        <f t="shared" si="10"/>
        <v>0</v>
      </c>
      <c r="M139" s="33" t="str">
        <f t="shared" si="11"/>
        <v>WITH BAL</v>
      </c>
    </row>
    <row r="140" spans="1:13" ht="15.75" x14ac:dyDescent="0.25">
      <c r="A140" s="33">
        <f>'LEARNERS DETAILS'!A136</f>
        <v>135</v>
      </c>
      <c r="B140" s="33">
        <f>'LEARNERS DETAILS'!B136</f>
        <v>0</v>
      </c>
      <c r="C140" s="33">
        <f>'LEARNERS DETAILS'!C136</f>
        <v>0</v>
      </c>
      <c r="D140" s="33">
        <f>'LEARNERS DETAILS'!D136</f>
        <v>0</v>
      </c>
      <c r="E140" s="69">
        <f>'LEARNERS DETAILS'!F136</f>
        <v>0</v>
      </c>
      <c r="F140" s="33" t="b">
        <f t="shared" si="12"/>
        <v>0</v>
      </c>
      <c r="G140" s="33"/>
      <c r="H140" s="33"/>
      <c r="I140" s="33"/>
      <c r="J140" s="33"/>
      <c r="K140" s="33">
        <f t="shared" si="9"/>
        <v>0</v>
      </c>
      <c r="L140" s="33">
        <f t="shared" si="10"/>
        <v>0</v>
      </c>
      <c r="M140" s="33" t="str">
        <f t="shared" si="11"/>
        <v>WITH BAL</v>
      </c>
    </row>
    <row r="141" spans="1:13" ht="15.75" x14ac:dyDescent="0.25">
      <c r="A141" s="33">
        <f>'LEARNERS DETAILS'!A137</f>
        <v>136</v>
      </c>
      <c r="B141" s="33">
        <f>'LEARNERS DETAILS'!B137</f>
        <v>0</v>
      </c>
      <c r="C141" s="33">
        <f>'LEARNERS DETAILS'!C137</f>
        <v>0</v>
      </c>
      <c r="D141" s="33">
        <f>'LEARNERS DETAILS'!D137</f>
        <v>0</v>
      </c>
      <c r="E141" s="69">
        <f>'LEARNERS DETAILS'!F137</f>
        <v>0</v>
      </c>
      <c r="F141" s="33" t="b">
        <f t="shared" si="12"/>
        <v>0</v>
      </c>
      <c r="G141" s="33"/>
      <c r="H141" s="33"/>
      <c r="I141" s="33"/>
      <c r="J141" s="33"/>
      <c r="K141" s="33">
        <f t="shared" si="9"/>
        <v>0</v>
      </c>
      <c r="L141" s="33">
        <f t="shared" si="10"/>
        <v>0</v>
      </c>
      <c r="M141" s="33" t="str">
        <f t="shared" si="11"/>
        <v>WITH BAL</v>
      </c>
    </row>
    <row r="142" spans="1:13" ht="15.75" x14ac:dyDescent="0.25">
      <c r="A142" s="33">
        <f>'LEARNERS DETAILS'!A138</f>
        <v>137</v>
      </c>
      <c r="B142" s="33">
        <f>'LEARNERS DETAILS'!B138</f>
        <v>0</v>
      </c>
      <c r="C142" s="33">
        <f>'LEARNERS DETAILS'!C138</f>
        <v>0</v>
      </c>
      <c r="D142" s="33">
        <f>'LEARNERS DETAILS'!D138</f>
        <v>0</v>
      </c>
      <c r="E142" s="69">
        <f>'LEARNERS DETAILS'!F138</f>
        <v>0</v>
      </c>
      <c r="F142" s="33" t="b">
        <f t="shared" si="12"/>
        <v>0</v>
      </c>
      <c r="G142" s="33"/>
      <c r="H142" s="33"/>
      <c r="I142" s="33"/>
      <c r="J142" s="33"/>
      <c r="K142" s="33">
        <f t="shared" si="9"/>
        <v>0</v>
      </c>
      <c r="L142" s="33">
        <f t="shared" si="10"/>
        <v>0</v>
      </c>
      <c r="M142" s="33" t="str">
        <f t="shared" si="11"/>
        <v>WITH BAL</v>
      </c>
    </row>
    <row r="143" spans="1:13" ht="15.75" x14ac:dyDescent="0.25">
      <c r="A143" s="33">
        <f>'LEARNERS DETAILS'!A139</f>
        <v>138</v>
      </c>
      <c r="B143" s="33">
        <f>'LEARNERS DETAILS'!B139</f>
        <v>0</v>
      </c>
      <c r="C143" s="33">
        <f>'LEARNERS DETAILS'!C139</f>
        <v>0</v>
      </c>
      <c r="D143" s="33">
        <f>'LEARNERS DETAILS'!D139</f>
        <v>0</v>
      </c>
      <c r="E143" s="69">
        <f>'LEARNERS DETAILS'!F139</f>
        <v>0</v>
      </c>
      <c r="F143" s="33" t="b">
        <f t="shared" si="12"/>
        <v>0</v>
      </c>
      <c r="G143" s="33"/>
      <c r="H143" s="33"/>
      <c r="I143" s="33"/>
      <c r="J143" s="33"/>
      <c r="K143" s="33">
        <f t="shared" si="9"/>
        <v>0</v>
      </c>
      <c r="L143" s="33">
        <f t="shared" si="10"/>
        <v>0</v>
      </c>
      <c r="M143" s="33" t="str">
        <f t="shared" si="11"/>
        <v>WITH BAL</v>
      </c>
    </row>
    <row r="144" spans="1:13" ht="15.75" x14ac:dyDescent="0.25">
      <c r="A144" s="33">
        <f>'LEARNERS DETAILS'!A140</f>
        <v>139</v>
      </c>
      <c r="B144" s="33">
        <f>'LEARNERS DETAILS'!B140</f>
        <v>0</v>
      </c>
      <c r="C144" s="33">
        <f>'LEARNERS DETAILS'!C140</f>
        <v>0</v>
      </c>
      <c r="D144" s="33">
        <f>'LEARNERS DETAILS'!D140</f>
        <v>0</v>
      </c>
      <c r="E144" s="69">
        <f>'LEARNERS DETAILS'!F140</f>
        <v>0</v>
      </c>
      <c r="F144" s="33" t="b">
        <f t="shared" si="12"/>
        <v>0</v>
      </c>
      <c r="G144" s="33"/>
      <c r="H144" s="33"/>
      <c r="I144" s="33"/>
      <c r="J144" s="33"/>
      <c r="K144" s="33">
        <f t="shared" si="9"/>
        <v>0</v>
      </c>
      <c r="L144" s="33">
        <f t="shared" si="10"/>
        <v>0</v>
      </c>
      <c r="M144" s="33" t="str">
        <f t="shared" si="11"/>
        <v>WITH BAL</v>
      </c>
    </row>
    <row r="145" spans="1:13" ht="15.75" x14ac:dyDescent="0.25">
      <c r="A145" s="33">
        <f>'LEARNERS DETAILS'!A141</f>
        <v>140</v>
      </c>
      <c r="B145" s="33">
        <f>'LEARNERS DETAILS'!B141</f>
        <v>0</v>
      </c>
      <c r="C145" s="33">
        <f>'LEARNERS DETAILS'!C141</f>
        <v>0</v>
      </c>
      <c r="D145" s="33">
        <f>'LEARNERS DETAILS'!D141</f>
        <v>0</v>
      </c>
      <c r="E145" s="69">
        <f>'LEARNERS DETAILS'!F141</f>
        <v>0</v>
      </c>
      <c r="F145" s="33" t="b">
        <f t="shared" si="12"/>
        <v>0</v>
      </c>
      <c r="G145" s="33"/>
      <c r="H145" s="33"/>
      <c r="I145" s="33"/>
      <c r="J145" s="33"/>
      <c r="K145" s="33">
        <f t="shared" si="9"/>
        <v>0</v>
      </c>
      <c r="L145" s="33">
        <f t="shared" si="10"/>
        <v>0</v>
      </c>
      <c r="M145" s="33" t="str">
        <f t="shared" si="11"/>
        <v>WITH BAL</v>
      </c>
    </row>
    <row r="146" spans="1:13" ht="15.75" x14ac:dyDescent="0.25">
      <c r="A146" s="33">
        <f>'LEARNERS DETAILS'!A142</f>
        <v>141</v>
      </c>
      <c r="B146" s="33">
        <f>'LEARNERS DETAILS'!B142</f>
        <v>0</v>
      </c>
      <c r="C146" s="33">
        <f>'LEARNERS DETAILS'!C142</f>
        <v>0</v>
      </c>
      <c r="D146" s="33">
        <f>'LEARNERS DETAILS'!D142</f>
        <v>0</v>
      </c>
      <c r="E146" s="69">
        <f>'LEARNERS DETAILS'!F142</f>
        <v>0</v>
      </c>
      <c r="F146" s="33" t="b">
        <f t="shared" si="12"/>
        <v>0</v>
      </c>
      <c r="G146" s="33"/>
      <c r="H146" s="33"/>
      <c r="I146" s="33"/>
      <c r="J146" s="33"/>
      <c r="K146" s="33">
        <f t="shared" si="9"/>
        <v>0</v>
      </c>
      <c r="L146" s="33">
        <f t="shared" si="10"/>
        <v>0</v>
      </c>
      <c r="M146" s="33" t="str">
        <f t="shared" si="11"/>
        <v>WITH BAL</v>
      </c>
    </row>
    <row r="147" spans="1:13" ht="15.75" x14ac:dyDescent="0.25">
      <c r="A147" s="33">
        <f>'LEARNERS DETAILS'!A143</f>
        <v>142</v>
      </c>
      <c r="B147" s="33">
        <f>'LEARNERS DETAILS'!B143</f>
        <v>0</v>
      </c>
      <c r="C147" s="33">
        <f>'LEARNERS DETAILS'!C143</f>
        <v>0</v>
      </c>
      <c r="D147" s="33">
        <f>'LEARNERS DETAILS'!D143</f>
        <v>0</v>
      </c>
      <c r="E147" s="69">
        <f>'LEARNERS DETAILS'!F143</f>
        <v>0</v>
      </c>
      <c r="F147" s="33" t="b">
        <f t="shared" si="12"/>
        <v>0</v>
      </c>
      <c r="G147" s="33"/>
      <c r="H147" s="33"/>
      <c r="I147" s="33"/>
      <c r="J147" s="33"/>
      <c r="K147" s="33">
        <f t="shared" si="9"/>
        <v>0</v>
      </c>
      <c r="L147" s="33">
        <f t="shared" si="10"/>
        <v>0</v>
      </c>
      <c r="M147" s="33" t="str">
        <f t="shared" si="11"/>
        <v>WITH BAL</v>
      </c>
    </row>
    <row r="148" spans="1:13" ht="15.75" x14ac:dyDescent="0.25">
      <c r="A148" s="33">
        <f>'LEARNERS DETAILS'!A144</f>
        <v>143</v>
      </c>
      <c r="B148" s="33">
        <f>'LEARNERS DETAILS'!B144</f>
        <v>0</v>
      </c>
      <c r="C148" s="33">
        <f>'LEARNERS DETAILS'!C144</f>
        <v>0</v>
      </c>
      <c r="D148" s="33">
        <f>'LEARNERS DETAILS'!D144</f>
        <v>0</v>
      </c>
      <c r="E148" s="69">
        <f>'LEARNERS DETAILS'!F144</f>
        <v>0</v>
      </c>
      <c r="F148" s="33" t="b">
        <f t="shared" si="12"/>
        <v>0</v>
      </c>
      <c r="G148" s="33"/>
      <c r="H148" s="33"/>
      <c r="I148" s="33"/>
      <c r="J148" s="33"/>
      <c r="K148" s="33">
        <f t="shared" si="9"/>
        <v>0</v>
      </c>
      <c r="L148" s="33">
        <f t="shared" si="10"/>
        <v>0</v>
      </c>
      <c r="M148" s="33" t="str">
        <f t="shared" si="11"/>
        <v>WITH BAL</v>
      </c>
    </row>
    <row r="149" spans="1:13" ht="15.75" x14ac:dyDescent="0.25">
      <c r="A149" s="33">
        <f>'LEARNERS DETAILS'!A145</f>
        <v>144</v>
      </c>
      <c r="B149" s="33">
        <f>'LEARNERS DETAILS'!B145</f>
        <v>0</v>
      </c>
      <c r="C149" s="33">
        <f>'LEARNERS DETAILS'!C145</f>
        <v>0</v>
      </c>
      <c r="D149" s="33">
        <f>'LEARNERS DETAILS'!D145</f>
        <v>0</v>
      </c>
      <c r="E149" s="69">
        <f>'LEARNERS DETAILS'!F145</f>
        <v>0</v>
      </c>
      <c r="F149" s="33" t="b">
        <f t="shared" si="12"/>
        <v>0</v>
      </c>
      <c r="G149" s="33"/>
      <c r="H149" s="33"/>
      <c r="I149" s="33"/>
      <c r="J149" s="33"/>
      <c r="K149" s="33">
        <f t="shared" si="9"/>
        <v>0</v>
      </c>
      <c r="L149" s="33">
        <f t="shared" si="10"/>
        <v>0</v>
      </c>
      <c r="M149" s="33" t="str">
        <f t="shared" si="11"/>
        <v>WITH BAL</v>
      </c>
    </row>
    <row r="150" spans="1:13" ht="15.75" x14ac:dyDescent="0.25">
      <c r="A150" s="33">
        <f>'LEARNERS DETAILS'!A146</f>
        <v>145</v>
      </c>
      <c r="B150" s="33">
        <f>'LEARNERS DETAILS'!B146</f>
        <v>0</v>
      </c>
      <c r="C150" s="33">
        <f>'LEARNERS DETAILS'!C146</f>
        <v>0</v>
      </c>
      <c r="D150" s="33">
        <f>'LEARNERS DETAILS'!D146</f>
        <v>0</v>
      </c>
      <c r="E150" s="69">
        <f>'LEARNERS DETAILS'!F146</f>
        <v>0</v>
      </c>
      <c r="F150" s="33" t="b">
        <f t="shared" si="12"/>
        <v>0</v>
      </c>
      <c r="G150" s="33"/>
      <c r="H150" s="33"/>
      <c r="I150" s="33"/>
      <c r="J150" s="33"/>
      <c r="K150" s="33">
        <f t="shared" si="9"/>
        <v>0</v>
      </c>
      <c r="L150" s="33">
        <f t="shared" si="10"/>
        <v>0</v>
      </c>
      <c r="M150" s="33" t="str">
        <f t="shared" si="11"/>
        <v>WITH BAL</v>
      </c>
    </row>
    <row r="151" spans="1:13" ht="15.75" x14ac:dyDescent="0.25">
      <c r="A151" s="33">
        <f>'LEARNERS DETAILS'!A147</f>
        <v>146</v>
      </c>
      <c r="B151" s="33">
        <f>'LEARNERS DETAILS'!B147</f>
        <v>0</v>
      </c>
      <c r="C151" s="33">
        <f>'LEARNERS DETAILS'!C147</f>
        <v>0</v>
      </c>
      <c r="D151" s="33">
        <f>'LEARNERS DETAILS'!D147</f>
        <v>0</v>
      </c>
      <c r="E151" s="69">
        <f>'LEARNERS DETAILS'!F147</f>
        <v>0</v>
      </c>
      <c r="F151" s="33" t="b">
        <f t="shared" si="12"/>
        <v>0</v>
      </c>
      <c r="G151" s="33"/>
      <c r="H151" s="33"/>
      <c r="I151" s="33"/>
      <c r="J151" s="33"/>
      <c r="K151" s="33">
        <f t="shared" si="9"/>
        <v>0</v>
      </c>
      <c r="L151" s="33">
        <f t="shared" si="10"/>
        <v>0</v>
      </c>
      <c r="M151" s="33" t="str">
        <f t="shared" si="11"/>
        <v>WITH BAL</v>
      </c>
    </row>
    <row r="152" spans="1:13" ht="15.75" x14ac:dyDescent="0.25">
      <c r="A152" s="33">
        <f>'LEARNERS DETAILS'!A148</f>
        <v>147</v>
      </c>
      <c r="B152" s="33">
        <f>'LEARNERS DETAILS'!B148</f>
        <v>0</v>
      </c>
      <c r="C152" s="33">
        <f>'LEARNERS DETAILS'!C148</f>
        <v>0</v>
      </c>
      <c r="D152" s="33">
        <f>'LEARNERS DETAILS'!D148</f>
        <v>0</v>
      </c>
      <c r="E152" s="69">
        <f>'LEARNERS DETAILS'!F148</f>
        <v>0</v>
      </c>
      <c r="F152" s="33" t="b">
        <f t="shared" si="12"/>
        <v>0</v>
      </c>
      <c r="G152" s="33"/>
      <c r="H152" s="33"/>
      <c r="I152" s="33"/>
      <c r="J152" s="33"/>
      <c r="K152" s="33">
        <f t="shared" si="9"/>
        <v>0</v>
      </c>
      <c r="L152" s="33">
        <f t="shared" si="10"/>
        <v>0</v>
      </c>
      <c r="M152" s="33" t="str">
        <f t="shared" si="11"/>
        <v>WITH BAL</v>
      </c>
    </row>
    <row r="153" spans="1:13" ht="15.75" x14ac:dyDescent="0.25">
      <c r="A153" s="33">
        <f>'LEARNERS DETAILS'!A149</f>
        <v>148</v>
      </c>
      <c r="B153" s="33">
        <f>'LEARNERS DETAILS'!B149</f>
        <v>0</v>
      </c>
      <c r="C153" s="33">
        <f>'LEARNERS DETAILS'!C149</f>
        <v>0</v>
      </c>
      <c r="D153" s="33">
        <f>'LEARNERS DETAILS'!D149</f>
        <v>0</v>
      </c>
      <c r="E153" s="69">
        <f>'LEARNERS DETAILS'!F149</f>
        <v>0</v>
      </c>
      <c r="F153" s="33" t="b">
        <f t="shared" si="12"/>
        <v>0</v>
      </c>
      <c r="G153" s="33"/>
      <c r="H153" s="33"/>
      <c r="I153" s="33"/>
      <c r="J153" s="33"/>
      <c r="K153" s="33">
        <f t="shared" si="9"/>
        <v>0</v>
      </c>
      <c r="L153" s="33">
        <f t="shared" si="10"/>
        <v>0</v>
      </c>
      <c r="M153" s="33" t="str">
        <f t="shared" si="11"/>
        <v>WITH BAL</v>
      </c>
    </row>
    <row r="154" spans="1:13" ht="15.75" x14ac:dyDescent="0.25">
      <c r="A154" s="33">
        <f>'LEARNERS DETAILS'!A150</f>
        <v>149</v>
      </c>
      <c r="B154" s="33">
        <f>'LEARNERS DETAILS'!B150</f>
        <v>0</v>
      </c>
      <c r="C154" s="33">
        <f>'LEARNERS DETAILS'!C150</f>
        <v>0</v>
      </c>
      <c r="D154" s="33">
        <f>'LEARNERS DETAILS'!D150</f>
        <v>0</v>
      </c>
      <c r="E154" s="69">
        <f>'LEARNERS DETAILS'!F150</f>
        <v>0</v>
      </c>
      <c r="F154" s="33" t="b">
        <f t="shared" si="12"/>
        <v>0</v>
      </c>
      <c r="G154" s="33"/>
      <c r="H154" s="33"/>
      <c r="I154" s="33"/>
      <c r="J154" s="33"/>
      <c r="K154" s="33">
        <f t="shared" si="9"/>
        <v>0</v>
      </c>
      <c r="L154" s="33">
        <f t="shared" si="10"/>
        <v>0</v>
      </c>
      <c r="M154" s="33" t="str">
        <f t="shared" si="11"/>
        <v>WITH BAL</v>
      </c>
    </row>
    <row r="155" spans="1:13" ht="15.75" x14ac:dyDescent="0.25">
      <c r="A155" s="33">
        <f>'LEARNERS DETAILS'!A151</f>
        <v>150</v>
      </c>
      <c r="B155" s="33">
        <f>'LEARNERS DETAILS'!B151</f>
        <v>0</v>
      </c>
      <c r="C155" s="33">
        <f>'LEARNERS DETAILS'!C151</f>
        <v>0</v>
      </c>
      <c r="D155" s="33">
        <f>'LEARNERS DETAILS'!D151</f>
        <v>0</v>
      </c>
      <c r="E155" s="69">
        <f>'LEARNERS DETAILS'!F151</f>
        <v>0</v>
      </c>
      <c r="F155" s="33" t="b">
        <f t="shared" si="12"/>
        <v>0</v>
      </c>
      <c r="G155" s="33"/>
      <c r="H155" s="33"/>
      <c r="I155" s="33"/>
      <c r="J155" s="33"/>
      <c r="K155" s="33">
        <f t="shared" si="9"/>
        <v>0</v>
      </c>
      <c r="L155" s="33">
        <f t="shared" si="10"/>
        <v>0</v>
      </c>
      <c r="M155" s="33" t="str">
        <f t="shared" si="11"/>
        <v>WITH BAL</v>
      </c>
    </row>
    <row r="156" spans="1:13" ht="15.75" x14ac:dyDescent="0.25">
      <c r="A156" s="33">
        <f>'LEARNERS DETAILS'!A152</f>
        <v>151</v>
      </c>
      <c r="B156" s="33">
        <f>'LEARNERS DETAILS'!B152</f>
        <v>0</v>
      </c>
      <c r="C156" s="33">
        <f>'LEARNERS DETAILS'!C152</f>
        <v>0</v>
      </c>
      <c r="D156" s="33">
        <f>'LEARNERS DETAILS'!D152</f>
        <v>0</v>
      </c>
      <c r="E156" s="69">
        <f>'LEARNERS DETAILS'!F152</f>
        <v>0</v>
      </c>
      <c r="F156" s="33" t="b">
        <f t="shared" si="12"/>
        <v>0</v>
      </c>
      <c r="G156" s="33"/>
      <c r="H156" s="33"/>
      <c r="I156" s="33"/>
      <c r="J156" s="33"/>
      <c r="K156" s="33">
        <f t="shared" si="9"/>
        <v>0</v>
      </c>
      <c r="L156" s="33">
        <f t="shared" si="10"/>
        <v>0</v>
      </c>
      <c r="M156" s="33" t="str">
        <f t="shared" si="11"/>
        <v>WITH BAL</v>
      </c>
    </row>
    <row r="157" spans="1:13" ht="15.75" x14ac:dyDescent="0.25">
      <c r="A157" s="33">
        <f>'LEARNERS DETAILS'!A153</f>
        <v>152</v>
      </c>
      <c r="B157" s="33">
        <f>'LEARNERS DETAILS'!B153</f>
        <v>0</v>
      </c>
      <c r="C157" s="33">
        <f>'LEARNERS DETAILS'!C153</f>
        <v>0</v>
      </c>
      <c r="D157" s="33">
        <f>'LEARNERS DETAILS'!D153</f>
        <v>0</v>
      </c>
      <c r="E157" s="69">
        <f>'LEARNERS DETAILS'!F153</f>
        <v>0</v>
      </c>
      <c r="F157" s="33" t="b">
        <f t="shared" si="12"/>
        <v>0</v>
      </c>
      <c r="G157" s="33"/>
      <c r="H157" s="33"/>
      <c r="I157" s="33"/>
      <c r="J157" s="33"/>
      <c r="K157" s="33">
        <f t="shared" si="9"/>
        <v>0</v>
      </c>
      <c r="L157" s="33">
        <f t="shared" si="10"/>
        <v>0</v>
      </c>
      <c r="M157" s="33" t="str">
        <f t="shared" si="11"/>
        <v>WITH BAL</v>
      </c>
    </row>
    <row r="158" spans="1:13" ht="15.75" x14ac:dyDescent="0.25">
      <c r="A158" s="33">
        <f>'LEARNERS DETAILS'!A154</f>
        <v>153</v>
      </c>
      <c r="B158" s="33">
        <f>'LEARNERS DETAILS'!B154</f>
        <v>0</v>
      </c>
      <c r="C158" s="33">
        <f>'LEARNERS DETAILS'!C154</f>
        <v>0</v>
      </c>
      <c r="D158" s="33">
        <f>'LEARNERS DETAILS'!D154</f>
        <v>0</v>
      </c>
      <c r="E158" s="69">
        <f>'LEARNERS DETAILS'!F154</f>
        <v>0</v>
      </c>
      <c r="F158" s="33" t="b">
        <f t="shared" si="12"/>
        <v>0</v>
      </c>
      <c r="G158" s="33"/>
      <c r="H158" s="33"/>
      <c r="I158" s="33"/>
      <c r="J158" s="33"/>
      <c r="K158" s="33">
        <f t="shared" si="9"/>
        <v>0</v>
      </c>
      <c r="L158" s="33">
        <f t="shared" si="10"/>
        <v>0</v>
      </c>
      <c r="M158" s="33" t="str">
        <f t="shared" si="11"/>
        <v>WITH BAL</v>
      </c>
    </row>
    <row r="159" spans="1:13" ht="15.75" x14ac:dyDescent="0.25">
      <c r="A159" s="33">
        <f>'LEARNERS DETAILS'!A155</f>
        <v>154</v>
      </c>
      <c r="B159" s="33">
        <f>'LEARNERS DETAILS'!B155</f>
        <v>0</v>
      </c>
      <c r="C159" s="33">
        <f>'LEARNERS DETAILS'!C155</f>
        <v>0</v>
      </c>
      <c r="D159" s="33">
        <f>'LEARNERS DETAILS'!D155</f>
        <v>0</v>
      </c>
      <c r="E159" s="69">
        <f>'LEARNERS DETAILS'!F155</f>
        <v>0</v>
      </c>
      <c r="F159" s="33" t="b">
        <f t="shared" si="12"/>
        <v>0</v>
      </c>
      <c r="G159" s="33"/>
      <c r="H159" s="33"/>
      <c r="I159" s="33"/>
      <c r="J159" s="33"/>
      <c r="K159" s="33">
        <f t="shared" si="9"/>
        <v>0</v>
      </c>
      <c r="L159" s="33">
        <f t="shared" si="10"/>
        <v>0</v>
      </c>
      <c r="M159" s="33" t="str">
        <f t="shared" si="11"/>
        <v>WITH BAL</v>
      </c>
    </row>
    <row r="160" spans="1:13" ht="15.75" x14ac:dyDescent="0.25">
      <c r="A160" s="33">
        <f>'LEARNERS DETAILS'!A156</f>
        <v>155</v>
      </c>
      <c r="B160" s="33">
        <f>'LEARNERS DETAILS'!B156</f>
        <v>0</v>
      </c>
      <c r="C160" s="33">
        <f>'LEARNERS DETAILS'!C156</f>
        <v>0</v>
      </c>
      <c r="D160" s="33">
        <f>'LEARNERS DETAILS'!D156</f>
        <v>0</v>
      </c>
      <c r="E160" s="69">
        <f>'LEARNERS DETAILS'!F156</f>
        <v>0</v>
      </c>
      <c r="F160" s="33" t="b">
        <f t="shared" si="12"/>
        <v>0</v>
      </c>
      <c r="G160" s="33"/>
      <c r="H160" s="33"/>
      <c r="I160" s="33"/>
      <c r="J160" s="33"/>
      <c r="K160" s="33">
        <f t="shared" si="9"/>
        <v>0</v>
      </c>
      <c r="L160" s="33">
        <f t="shared" si="10"/>
        <v>0</v>
      </c>
      <c r="M160" s="33" t="str">
        <f t="shared" si="11"/>
        <v>WITH BAL</v>
      </c>
    </row>
    <row r="161" spans="1:13" ht="15.75" x14ac:dyDescent="0.25">
      <c r="A161" s="33">
        <f>'LEARNERS DETAILS'!A157</f>
        <v>156</v>
      </c>
      <c r="B161" s="33">
        <f>'LEARNERS DETAILS'!B157</f>
        <v>0</v>
      </c>
      <c r="C161" s="33">
        <f>'LEARNERS DETAILS'!C157</f>
        <v>0</v>
      </c>
      <c r="D161" s="33">
        <f>'LEARNERS DETAILS'!D157</f>
        <v>0</v>
      </c>
      <c r="E161" s="69">
        <f>'LEARNERS DETAILS'!F157</f>
        <v>0</v>
      </c>
      <c r="F161" s="33" t="b">
        <f t="shared" si="12"/>
        <v>0</v>
      </c>
      <c r="G161" s="33"/>
      <c r="H161" s="33"/>
      <c r="I161" s="33"/>
      <c r="J161" s="33"/>
      <c r="K161" s="33">
        <f t="shared" si="9"/>
        <v>0</v>
      </c>
      <c r="L161" s="33">
        <f t="shared" si="10"/>
        <v>0</v>
      </c>
      <c r="M161" s="33" t="str">
        <f t="shared" si="11"/>
        <v>WITH BAL</v>
      </c>
    </row>
    <row r="162" spans="1:13" ht="15.75" x14ac:dyDescent="0.25">
      <c r="A162" s="33">
        <f>'LEARNERS DETAILS'!A158</f>
        <v>157</v>
      </c>
      <c r="B162" s="33">
        <f>'LEARNERS DETAILS'!B158</f>
        <v>0</v>
      </c>
      <c r="C162" s="33">
        <f>'LEARNERS DETAILS'!C158</f>
        <v>0</v>
      </c>
      <c r="D162" s="33">
        <f>'LEARNERS DETAILS'!D158</f>
        <v>0</v>
      </c>
      <c r="E162" s="69">
        <f>'LEARNERS DETAILS'!F158</f>
        <v>0</v>
      </c>
      <c r="F162" s="33" t="b">
        <f t="shared" si="12"/>
        <v>0</v>
      </c>
      <c r="G162" s="33"/>
      <c r="H162" s="33"/>
      <c r="I162" s="33"/>
      <c r="J162" s="33"/>
      <c r="K162" s="33">
        <f t="shared" si="9"/>
        <v>0</v>
      </c>
      <c r="L162" s="33">
        <f t="shared" si="10"/>
        <v>0</v>
      </c>
      <c r="M162" s="33" t="str">
        <f t="shared" si="11"/>
        <v>WITH BAL</v>
      </c>
    </row>
    <row r="163" spans="1:13" ht="15.75" x14ac:dyDescent="0.25">
      <c r="A163" s="33">
        <f>'LEARNERS DETAILS'!A159</f>
        <v>158</v>
      </c>
      <c r="B163" s="33">
        <f>'LEARNERS DETAILS'!B159</f>
        <v>0</v>
      </c>
      <c r="C163" s="33">
        <f>'LEARNERS DETAILS'!C159</f>
        <v>0</v>
      </c>
      <c r="D163" s="33">
        <f>'LEARNERS DETAILS'!D159</f>
        <v>0</v>
      </c>
      <c r="E163" s="69">
        <f>'LEARNERS DETAILS'!F159</f>
        <v>0</v>
      </c>
      <c r="F163" s="33" t="b">
        <f t="shared" si="12"/>
        <v>0</v>
      </c>
      <c r="G163" s="33"/>
      <c r="H163" s="33"/>
      <c r="I163" s="33"/>
      <c r="J163" s="33"/>
      <c r="K163" s="33">
        <f t="shared" si="9"/>
        <v>0</v>
      </c>
      <c r="L163" s="33">
        <f t="shared" si="10"/>
        <v>0</v>
      </c>
      <c r="M163" s="33" t="str">
        <f t="shared" si="11"/>
        <v>WITH BAL</v>
      </c>
    </row>
    <row r="164" spans="1:13" ht="15.75" x14ac:dyDescent="0.25">
      <c r="A164" s="33">
        <f>'LEARNERS DETAILS'!A160</f>
        <v>159</v>
      </c>
      <c r="B164" s="33">
        <f>'LEARNERS DETAILS'!B160</f>
        <v>0</v>
      </c>
      <c r="C164" s="33">
        <f>'LEARNERS DETAILS'!C160</f>
        <v>0</v>
      </c>
      <c r="D164" s="33">
        <f>'LEARNERS DETAILS'!D160</f>
        <v>0</v>
      </c>
      <c r="E164" s="69">
        <f>'LEARNERS DETAILS'!F160</f>
        <v>0</v>
      </c>
      <c r="F164" s="33" t="b">
        <f t="shared" si="12"/>
        <v>0</v>
      </c>
      <c r="G164" s="33"/>
      <c r="H164" s="33"/>
      <c r="I164" s="33"/>
      <c r="J164" s="33"/>
      <c r="K164" s="33">
        <f t="shared" si="9"/>
        <v>0</v>
      </c>
      <c r="L164" s="33">
        <f t="shared" si="10"/>
        <v>0</v>
      </c>
      <c r="M164" s="33" t="str">
        <f t="shared" si="11"/>
        <v>WITH BAL</v>
      </c>
    </row>
    <row r="165" spans="1:13" ht="15.75" x14ac:dyDescent="0.25">
      <c r="A165" s="33">
        <f>'LEARNERS DETAILS'!A161</f>
        <v>160</v>
      </c>
      <c r="B165" s="33">
        <f>'LEARNERS DETAILS'!B161</f>
        <v>0</v>
      </c>
      <c r="C165" s="33">
        <f>'LEARNERS DETAILS'!C161</f>
        <v>0</v>
      </c>
      <c r="D165" s="33">
        <f>'LEARNERS DETAILS'!D161</f>
        <v>0</v>
      </c>
      <c r="E165" s="69">
        <f>'LEARNERS DETAILS'!F161</f>
        <v>0</v>
      </c>
      <c r="F165" s="33" t="b">
        <f t="shared" si="12"/>
        <v>0</v>
      </c>
      <c r="G165" s="33"/>
      <c r="H165" s="33"/>
      <c r="I165" s="33"/>
      <c r="J165" s="33"/>
      <c r="K165" s="33">
        <f t="shared" si="9"/>
        <v>0</v>
      </c>
      <c r="L165" s="33">
        <f t="shared" si="10"/>
        <v>0</v>
      </c>
      <c r="M165" s="33" t="str">
        <f t="shared" si="11"/>
        <v>WITH BAL</v>
      </c>
    </row>
    <row r="166" spans="1:13" ht="15.75" x14ac:dyDescent="0.25">
      <c r="A166" s="33">
        <f>'LEARNERS DETAILS'!A162</f>
        <v>161</v>
      </c>
      <c r="B166" s="33">
        <f>'LEARNERS DETAILS'!B162</f>
        <v>0</v>
      </c>
      <c r="C166" s="33">
        <f>'LEARNERS DETAILS'!C162</f>
        <v>0</v>
      </c>
      <c r="D166" s="33">
        <f>'LEARNERS DETAILS'!D162</f>
        <v>0</v>
      </c>
      <c r="E166" s="69">
        <f>'LEARNERS DETAILS'!F162</f>
        <v>0</v>
      </c>
      <c r="F166" s="33" t="b">
        <f t="shared" si="12"/>
        <v>0</v>
      </c>
      <c r="G166" s="33"/>
      <c r="H166" s="33"/>
      <c r="I166" s="33"/>
      <c r="J166" s="33"/>
      <c r="K166" s="33">
        <f t="shared" si="9"/>
        <v>0</v>
      </c>
      <c r="L166" s="33">
        <f t="shared" si="10"/>
        <v>0</v>
      </c>
      <c r="M166" s="33" t="str">
        <f t="shared" si="11"/>
        <v>WITH BAL</v>
      </c>
    </row>
    <row r="167" spans="1:13" ht="15.75" x14ac:dyDescent="0.25">
      <c r="A167" s="33">
        <f>'LEARNERS DETAILS'!A163</f>
        <v>162</v>
      </c>
      <c r="B167" s="33">
        <f>'LEARNERS DETAILS'!B163</f>
        <v>0</v>
      </c>
      <c r="C167" s="33">
        <f>'LEARNERS DETAILS'!C163</f>
        <v>0</v>
      </c>
      <c r="D167" s="33">
        <f>'LEARNERS DETAILS'!D163</f>
        <v>0</v>
      </c>
      <c r="E167" s="69">
        <f>'LEARNERS DETAILS'!F163</f>
        <v>0</v>
      </c>
      <c r="F167" s="33" t="b">
        <f t="shared" si="12"/>
        <v>0</v>
      </c>
      <c r="G167" s="33"/>
      <c r="H167" s="33"/>
      <c r="I167" s="33"/>
      <c r="J167" s="33"/>
      <c r="K167" s="33">
        <f t="shared" si="9"/>
        <v>0</v>
      </c>
      <c r="L167" s="33">
        <f t="shared" si="10"/>
        <v>0</v>
      </c>
      <c r="M167" s="33" t="str">
        <f t="shared" si="11"/>
        <v>WITH BAL</v>
      </c>
    </row>
    <row r="168" spans="1:13" ht="15.75" x14ac:dyDescent="0.25">
      <c r="A168" s="33">
        <f>'LEARNERS DETAILS'!A164</f>
        <v>163</v>
      </c>
      <c r="B168" s="33">
        <f>'LEARNERS DETAILS'!B164</f>
        <v>0</v>
      </c>
      <c r="C168" s="33">
        <f>'LEARNERS DETAILS'!C164</f>
        <v>0</v>
      </c>
      <c r="D168" s="33">
        <f>'LEARNERS DETAILS'!D164</f>
        <v>0</v>
      </c>
      <c r="E168" s="69">
        <f>'LEARNERS DETAILS'!F164</f>
        <v>0</v>
      </c>
      <c r="F168" s="33" t="b">
        <f t="shared" si="12"/>
        <v>0</v>
      </c>
      <c r="G168" s="33"/>
      <c r="H168" s="33"/>
      <c r="I168" s="33"/>
      <c r="J168" s="33"/>
      <c r="K168" s="33">
        <f t="shared" si="9"/>
        <v>0</v>
      </c>
      <c r="L168" s="33">
        <f t="shared" si="10"/>
        <v>0</v>
      </c>
      <c r="M168" s="33" t="str">
        <f t="shared" si="11"/>
        <v>WITH BAL</v>
      </c>
    </row>
    <row r="169" spans="1:13" ht="15.75" x14ac:dyDescent="0.25">
      <c r="A169" s="33">
        <f>'LEARNERS DETAILS'!A165</f>
        <v>164</v>
      </c>
      <c r="B169" s="33">
        <f>'LEARNERS DETAILS'!B165</f>
        <v>0</v>
      </c>
      <c r="C169" s="33">
        <f>'LEARNERS DETAILS'!C165</f>
        <v>0</v>
      </c>
      <c r="D169" s="33">
        <f>'LEARNERS DETAILS'!D165</f>
        <v>0</v>
      </c>
      <c r="E169" s="69">
        <f>'LEARNERS DETAILS'!F165</f>
        <v>0</v>
      </c>
      <c r="F169" s="33" t="b">
        <f t="shared" si="12"/>
        <v>0</v>
      </c>
      <c r="G169" s="33"/>
      <c r="H169" s="33"/>
      <c r="I169" s="33"/>
      <c r="J169" s="33"/>
      <c r="K169" s="33">
        <f t="shared" si="9"/>
        <v>0</v>
      </c>
      <c r="L169" s="33">
        <f t="shared" si="10"/>
        <v>0</v>
      </c>
      <c r="M169" s="33" t="str">
        <f t="shared" si="11"/>
        <v>WITH BAL</v>
      </c>
    </row>
    <row r="170" spans="1:13" ht="15.75" x14ac:dyDescent="0.25">
      <c r="A170" s="33">
        <f>'LEARNERS DETAILS'!A166</f>
        <v>165</v>
      </c>
      <c r="B170" s="33">
        <f>'LEARNERS DETAILS'!B166</f>
        <v>0</v>
      </c>
      <c r="C170" s="33">
        <f>'LEARNERS DETAILS'!C166</f>
        <v>0</v>
      </c>
      <c r="D170" s="33">
        <f>'LEARNERS DETAILS'!D166</f>
        <v>0</v>
      </c>
      <c r="E170" s="69">
        <f>'LEARNERS DETAILS'!F166</f>
        <v>0</v>
      </c>
      <c r="F170" s="33" t="b">
        <f t="shared" si="12"/>
        <v>0</v>
      </c>
      <c r="G170" s="33"/>
      <c r="H170" s="33"/>
      <c r="I170" s="33"/>
      <c r="J170" s="33"/>
      <c r="K170" s="33">
        <f t="shared" si="9"/>
        <v>0</v>
      </c>
      <c r="L170" s="33">
        <f t="shared" si="10"/>
        <v>0</v>
      </c>
      <c r="M170" s="33" t="str">
        <f t="shared" si="11"/>
        <v>WITH BAL</v>
      </c>
    </row>
    <row r="171" spans="1:13" ht="15.75" x14ac:dyDescent="0.25">
      <c r="A171" s="33">
        <f>'LEARNERS DETAILS'!A167</f>
        <v>166</v>
      </c>
      <c r="B171" s="33">
        <f>'LEARNERS DETAILS'!B167</f>
        <v>0</v>
      </c>
      <c r="C171" s="33">
        <f>'LEARNERS DETAILS'!C167</f>
        <v>0</v>
      </c>
      <c r="D171" s="33">
        <f>'LEARNERS DETAILS'!D167</f>
        <v>0</v>
      </c>
      <c r="E171" s="69">
        <f>'LEARNERS DETAILS'!F167</f>
        <v>0</v>
      </c>
      <c r="F171" s="33" t="b">
        <f t="shared" si="12"/>
        <v>0</v>
      </c>
      <c r="G171" s="33"/>
      <c r="H171" s="33"/>
      <c r="I171" s="33"/>
      <c r="J171" s="33"/>
      <c r="K171" s="33">
        <f t="shared" si="9"/>
        <v>0</v>
      </c>
      <c r="L171" s="33">
        <f t="shared" si="10"/>
        <v>0</v>
      </c>
      <c r="M171" s="33" t="str">
        <f t="shared" si="11"/>
        <v>WITH BAL</v>
      </c>
    </row>
    <row r="172" spans="1:13" ht="15.75" x14ac:dyDescent="0.25">
      <c r="A172" s="33">
        <f>'LEARNERS DETAILS'!A168</f>
        <v>167</v>
      </c>
      <c r="B172" s="33">
        <f>'LEARNERS DETAILS'!B168</f>
        <v>0</v>
      </c>
      <c r="C172" s="33">
        <f>'LEARNERS DETAILS'!C168</f>
        <v>0</v>
      </c>
      <c r="D172" s="33">
        <f>'LEARNERS DETAILS'!D168</f>
        <v>0</v>
      </c>
      <c r="E172" s="69">
        <f>'LEARNERS DETAILS'!F168</f>
        <v>0</v>
      </c>
      <c r="F172" s="33" t="b">
        <f t="shared" si="12"/>
        <v>0</v>
      </c>
      <c r="G172" s="33"/>
      <c r="H172" s="33"/>
      <c r="I172" s="33"/>
      <c r="J172" s="33"/>
      <c r="K172" s="33">
        <f t="shared" si="9"/>
        <v>0</v>
      </c>
      <c r="L172" s="33">
        <f t="shared" si="10"/>
        <v>0</v>
      </c>
      <c r="M172" s="33" t="str">
        <f t="shared" si="11"/>
        <v>WITH BAL</v>
      </c>
    </row>
    <row r="173" spans="1:13" ht="15.75" x14ac:dyDescent="0.25">
      <c r="A173" s="33">
        <f>'LEARNERS DETAILS'!A169</f>
        <v>168</v>
      </c>
      <c r="B173" s="33">
        <f>'LEARNERS DETAILS'!B169</f>
        <v>0</v>
      </c>
      <c r="C173" s="33">
        <f>'LEARNERS DETAILS'!C169</f>
        <v>0</v>
      </c>
      <c r="D173" s="33">
        <f>'LEARNERS DETAILS'!D169</f>
        <v>0</v>
      </c>
      <c r="E173" s="69">
        <f>'LEARNERS DETAILS'!F169</f>
        <v>0</v>
      </c>
      <c r="F173" s="33" t="b">
        <f t="shared" si="12"/>
        <v>0</v>
      </c>
      <c r="G173" s="33"/>
      <c r="H173" s="33"/>
      <c r="I173" s="33"/>
      <c r="J173" s="33"/>
      <c r="K173" s="33">
        <f t="shared" si="9"/>
        <v>0</v>
      </c>
      <c r="L173" s="33">
        <f t="shared" si="10"/>
        <v>0</v>
      </c>
      <c r="M173" s="33" t="str">
        <f t="shared" si="11"/>
        <v>WITH BAL</v>
      </c>
    </row>
    <row r="174" spans="1:13" ht="15.75" x14ac:dyDescent="0.25">
      <c r="A174" s="33">
        <f>'LEARNERS DETAILS'!A170</f>
        <v>169</v>
      </c>
      <c r="B174" s="33">
        <f>'LEARNERS DETAILS'!B170</f>
        <v>0</v>
      </c>
      <c r="C174" s="33">
        <f>'LEARNERS DETAILS'!C170</f>
        <v>0</v>
      </c>
      <c r="D174" s="33">
        <f>'LEARNERS DETAILS'!D170</f>
        <v>0</v>
      </c>
      <c r="E174" s="69">
        <f>'LEARNERS DETAILS'!F170</f>
        <v>0</v>
      </c>
      <c r="F174" s="33" t="b">
        <f t="shared" si="12"/>
        <v>0</v>
      </c>
      <c r="G174" s="33"/>
      <c r="H174" s="33"/>
      <c r="I174" s="33"/>
      <c r="J174" s="33"/>
      <c r="K174" s="33">
        <f t="shared" si="9"/>
        <v>0</v>
      </c>
      <c r="L174" s="33">
        <f t="shared" si="10"/>
        <v>0</v>
      </c>
      <c r="M174" s="33" t="str">
        <f t="shared" si="11"/>
        <v>WITH BAL</v>
      </c>
    </row>
    <row r="175" spans="1:13" ht="15.75" x14ac:dyDescent="0.25">
      <c r="A175" s="33">
        <f>'LEARNERS DETAILS'!A171</f>
        <v>170</v>
      </c>
      <c r="B175" s="33">
        <f>'LEARNERS DETAILS'!B171</f>
        <v>0</v>
      </c>
      <c r="C175" s="33">
        <f>'LEARNERS DETAILS'!C171</f>
        <v>0</v>
      </c>
      <c r="D175" s="33">
        <f>'LEARNERS DETAILS'!D171</f>
        <v>0</v>
      </c>
      <c r="E175" s="69">
        <f>'LEARNERS DETAILS'!F171</f>
        <v>0</v>
      </c>
      <c r="F175" s="33" t="b">
        <f t="shared" si="12"/>
        <v>0</v>
      </c>
      <c r="G175" s="33"/>
      <c r="H175" s="33"/>
      <c r="I175" s="33"/>
      <c r="J175" s="33"/>
      <c r="K175" s="33">
        <f t="shared" si="9"/>
        <v>0</v>
      </c>
      <c r="L175" s="33">
        <f t="shared" si="10"/>
        <v>0</v>
      </c>
      <c r="M175" s="33" t="str">
        <f t="shared" si="11"/>
        <v>WITH BAL</v>
      </c>
    </row>
    <row r="176" spans="1:13" ht="15.75" x14ac:dyDescent="0.25">
      <c r="A176" s="33">
        <f>'LEARNERS DETAILS'!A172</f>
        <v>171</v>
      </c>
      <c r="B176" s="33">
        <f>'LEARNERS DETAILS'!B172</f>
        <v>0</v>
      </c>
      <c r="C176" s="33">
        <f>'LEARNERS DETAILS'!C172</f>
        <v>0</v>
      </c>
      <c r="D176" s="33">
        <f>'LEARNERS DETAILS'!D172</f>
        <v>0</v>
      </c>
      <c r="E176" s="69">
        <f>'LEARNERS DETAILS'!F172</f>
        <v>0</v>
      </c>
      <c r="F176" s="33" t="b">
        <f t="shared" si="12"/>
        <v>0</v>
      </c>
      <c r="G176" s="33"/>
      <c r="H176" s="33"/>
      <c r="I176" s="33"/>
      <c r="J176" s="33"/>
      <c r="K176" s="33">
        <f t="shared" si="9"/>
        <v>0</v>
      </c>
      <c r="L176" s="33">
        <f t="shared" si="10"/>
        <v>0</v>
      </c>
      <c r="M176" s="33" t="str">
        <f t="shared" si="11"/>
        <v>WITH BAL</v>
      </c>
    </row>
    <row r="177" spans="1:13" ht="15.75" x14ac:dyDescent="0.25">
      <c r="A177" s="33">
        <f>'LEARNERS DETAILS'!A173</f>
        <v>172</v>
      </c>
      <c r="B177" s="33">
        <f>'LEARNERS DETAILS'!B173</f>
        <v>0</v>
      </c>
      <c r="C177" s="33">
        <f>'LEARNERS DETAILS'!C173</f>
        <v>0</v>
      </c>
      <c r="D177" s="33">
        <f>'LEARNERS DETAILS'!D173</f>
        <v>0</v>
      </c>
      <c r="E177" s="69">
        <f>'LEARNERS DETAILS'!F173</f>
        <v>0</v>
      </c>
      <c r="F177" s="33" t="b">
        <f t="shared" si="12"/>
        <v>0</v>
      </c>
      <c r="G177" s="33"/>
      <c r="H177" s="33"/>
      <c r="I177" s="33"/>
      <c r="J177" s="33"/>
      <c r="K177" s="33">
        <f t="shared" si="9"/>
        <v>0</v>
      </c>
      <c r="L177" s="33">
        <f t="shared" si="10"/>
        <v>0</v>
      </c>
      <c r="M177" s="33" t="str">
        <f t="shared" si="11"/>
        <v>WITH BAL</v>
      </c>
    </row>
    <row r="178" spans="1:13" ht="15.75" x14ac:dyDescent="0.25">
      <c r="A178" s="33">
        <f>'LEARNERS DETAILS'!A174</f>
        <v>173</v>
      </c>
      <c r="B178" s="33">
        <f>'LEARNERS DETAILS'!B174</f>
        <v>0</v>
      </c>
      <c r="C178" s="33">
        <f>'LEARNERS DETAILS'!C174</f>
        <v>0</v>
      </c>
      <c r="D178" s="33">
        <f>'LEARNERS DETAILS'!D174</f>
        <v>0</v>
      </c>
      <c r="E178" s="69">
        <f>'LEARNERS DETAILS'!F174</f>
        <v>0</v>
      </c>
      <c r="F178" s="33" t="b">
        <f t="shared" si="12"/>
        <v>0</v>
      </c>
      <c r="G178" s="33"/>
      <c r="H178" s="33"/>
      <c r="I178" s="33"/>
      <c r="J178" s="33"/>
      <c r="K178" s="33">
        <f t="shared" si="9"/>
        <v>0</v>
      </c>
      <c r="L178" s="33">
        <f t="shared" si="10"/>
        <v>0</v>
      </c>
      <c r="M178" s="33" t="str">
        <f t="shared" si="11"/>
        <v>WITH BAL</v>
      </c>
    </row>
    <row r="179" spans="1:13" ht="15.75" x14ac:dyDescent="0.25">
      <c r="A179" s="33">
        <f>'LEARNERS DETAILS'!A175</f>
        <v>174</v>
      </c>
      <c r="B179" s="33">
        <f>'LEARNERS DETAILS'!B175</f>
        <v>0</v>
      </c>
      <c r="C179" s="33">
        <f>'LEARNERS DETAILS'!C175</f>
        <v>0</v>
      </c>
      <c r="D179" s="33">
        <f>'LEARNERS DETAILS'!D175</f>
        <v>0</v>
      </c>
      <c r="E179" s="69">
        <f>'LEARNERS DETAILS'!F175</f>
        <v>0</v>
      </c>
      <c r="F179" s="33" t="b">
        <f t="shared" si="12"/>
        <v>0</v>
      </c>
      <c r="G179" s="33"/>
      <c r="H179" s="33"/>
      <c r="I179" s="33"/>
      <c r="J179" s="33"/>
      <c r="K179" s="33">
        <f t="shared" si="9"/>
        <v>0</v>
      </c>
      <c r="L179" s="33">
        <f t="shared" si="10"/>
        <v>0</v>
      </c>
      <c r="M179" s="33" t="str">
        <f t="shared" si="11"/>
        <v>WITH BAL</v>
      </c>
    </row>
    <row r="180" spans="1:13" ht="15.75" x14ac:dyDescent="0.25">
      <c r="A180" s="33">
        <f>'LEARNERS DETAILS'!A176</f>
        <v>175</v>
      </c>
      <c r="B180" s="33">
        <f>'LEARNERS DETAILS'!B176</f>
        <v>0</v>
      </c>
      <c r="C180" s="33">
        <f>'LEARNERS DETAILS'!C176</f>
        <v>0</v>
      </c>
      <c r="D180" s="33">
        <f>'LEARNERS DETAILS'!D176</f>
        <v>0</v>
      </c>
      <c r="E180" s="69">
        <f>'LEARNERS DETAILS'!F176</f>
        <v>0</v>
      </c>
      <c r="F180" s="33" t="b">
        <f t="shared" si="12"/>
        <v>0</v>
      </c>
      <c r="G180" s="33"/>
      <c r="H180" s="33"/>
      <c r="I180" s="33"/>
      <c r="J180" s="33"/>
      <c r="K180" s="33">
        <f t="shared" si="9"/>
        <v>0</v>
      </c>
      <c r="L180" s="33">
        <f t="shared" si="10"/>
        <v>0</v>
      </c>
      <c r="M180" s="33" t="str">
        <f t="shared" si="11"/>
        <v>WITH BAL</v>
      </c>
    </row>
    <row r="181" spans="1:13" ht="15.75" x14ac:dyDescent="0.25">
      <c r="A181" s="33">
        <f>'LEARNERS DETAILS'!A177</f>
        <v>176</v>
      </c>
      <c r="B181" s="33">
        <f>'LEARNERS DETAILS'!B177</f>
        <v>0</v>
      </c>
      <c r="C181" s="33">
        <f>'LEARNERS DETAILS'!C177</f>
        <v>0</v>
      </c>
      <c r="D181" s="33">
        <f>'LEARNERS DETAILS'!D177</f>
        <v>0</v>
      </c>
      <c r="E181" s="69">
        <f>'LEARNERS DETAILS'!F177</f>
        <v>0</v>
      </c>
      <c r="F181" s="33" t="b">
        <f t="shared" si="12"/>
        <v>0</v>
      </c>
      <c r="G181" s="33"/>
      <c r="H181" s="33"/>
      <c r="I181" s="33"/>
      <c r="J181" s="33"/>
      <c r="K181" s="33">
        <f t="shared" si="9"/>
        <v>0</v>
      </c>
      <c r="L181" s="33">
        <f t="shared" si="10"/>
        <v>0</v>
      </c>
      <c r="M181" s="33" t="str">
        <f t="shared" si="11"/>
        <v>WITH BAL</v>
      </c>
    </row>
    <row r="182" spans="1:13" ht="15.75" x14ac:dyDescent="0.25">
      <c r="A182" s="33">
        <f>'LEARNERS DETAILS'!A178</f>
        <v>177</v>
      </c>
      <c r="B182" s="33">
        <f>'LEARNERS DETAILS'!B178</f>
        <v>0</v>
      </c>
      <c r="C182" s="33">
        <f>'LEARNERS DETAILS'!C178</f>
        <v>0</v>
      </c>
      <c r="D182" s="33">
        <f>'LEARNERS DETAILS'!D178</f>
        <v>0</v>
      </c>
      <c r="E182" s="69">
        <f>'LEARNERS DETAILS'!F178</f>
        <v>0</v>
      </c>
      <c r="F182" s="33" t="b">
        <f t="shared" si="12"/>
        <v>0</v>
      </c>
      <c r="G182" s="33"/>
      <c r="H182" s="33"/>
      <c r="I182" s="33"/>
      <c r="J182" s="33"/>
      <c r="K182" s="33">
        <f t="shared" si="9"/>
        <v>0</v>
      </c>
      <c r="L182" s="33">
        <f t="shared" si="10"/>
        <v>0</v>
      </c>
      <c r="M182" s="33" t="str">
        <f t="shared" si="11"/>
        <v>WITH BAL</v>
      </c>
    </row>
    <row r="183" spans="1:13" ht="15.75" x14ac:dyDescent="0.25">
      <c r="A183" s="33">
        <f>'LEARNERS DETAILS'!A179</f>
        <v>178</v>
      </c>
      <c r="B183" s="33">
        <f>'LEARNERS DETAILS'!B179</f>
        <v>0</v>
      </c>
      <c r="C183" s="33">
        <f>'LEARNERS DETAILS'!C179</f>
        <v>0</v>
      </c>
      <c r="D183" s="33">
        <f>'LEARNERS DETAILS'!D179</f>
        <v>0</v>
      </c>
      <c r="E183" s="69">
        <f>'LEARNERS DETAILS'!F179</f>
        <v>0</v>
      </c>
      <c r="F183" s="33" t="b">
        <f t="shared" si="12"/>
        <v>0</v>
      </c>
      <c r="G183" s="33"/>
      <c r="H183" s="33"/>
      <c r="I183" s="33"/>
      <c r="J183" s="33"/>
      <c r="K183" s="33">
        <f t="shared" si="9"/>
        <v>0</v>
      </c>
      <c r="L183" s="33">
        <f t="shared" si="10"/>
        <v>0</v>
      </c>
      <c r="M183" s="33" t="str">
        <f t="shared" si="11"/>
        <v>WITH BAL</v>
      </c>
    </row>
    <row r="184" spans="1:13" ht="15.75" x14ac:dyDescent="0.25">
      <c r="A184" s="33">
        <f>'LEARNERS DETAILS'!A180</f>
        <v>179</v>
      </c>
      <c r="B184" s="33">
        <f>'LEARNERS DETAILS'!B180</f>
        <v>0</v>
      </c>
      <c r="C184" s="33">
        <f>'LEARNERS DETAILS'!C180</f>
        <v>0</v>
      </c>
      <c r="D184" s="33">
        <f>'LEARNERS DETAILS'!D180</f>
        <v>0</v>
      </c>
      <c r="E184" s="69">
        <f>'LEARNERS DETAILS'!F180</f>
        <v>0</v>
      </c>
      <c r="F184" s="33" t="b">
        <f t="shared" si="12"/>
        <v>0</v>
      </c>
      <c r="G184" s="33"/>
      <c r="H184" s="33"/>
      <c r="I184" s="33"/>
      <c r="J184" s="33"/>
      <c r="K184" s="33">
        <f t="shared" si="9"/>
        <v>0</v>
      </c>
      <c r="L184" s="33">
        <f t="shared" si="10"/>
        <v>0</v>
      </c>
      <c r="M184" s="33" t="str">
        <f t="shared" si="11"/>
        <v>WITH BAL</v>
      </c>
    </row>
    <row r="185" spans="1:13" ht="15.75" x14ac:dyDescent="0.25">
      <c r="A185" s="33">
        <f>'LEARNERS DETAILS'!A181</f>
        <v>180</v>
      </c>
      <c r="B185" s="33">
        <f>'LEARNERS DETAILS'!B181</f>
        <v>0</v>
      </c>
      <c r="C185" s="33">
        <f>'LEARNERS DETAILS'!C181</f>
        <v>0</v>
      </c>
      <c r="D185" s="33">
        <f>'LEARNERS DETAILS'!D181</f>
        <v>0</v>
      </c>
      <c r="E185" s="69">
        <f>'LEARNERS DETAILS'!F181</f>
        <v>0</v>
      </c>
      <c r="F185" s="33" t="b">
        <f t="shared" si="12"/>
        <v>0</v>
      </c>
      <c r="G185" s="33"/>
      <c r="H185" s="33"/>
      <c r="I185" s="33"/>
      <c r="J185" s="33"/>
      <c r="K185" s="33">
        <f t="shared" si="9"/>
        <v>0</v>
      </c>
      <c r="L185" s="33">
        <f t="shared" si="10"/>
        <v>0</v>
      </c>
      <c r="M185" s="33" t="str">
        <f t="shared" si="11"/>
        <v>WITH BAL</v>
      </c>
    </row>
    <row r="186" spans="1:13" ht="15.75" x14ac:dyDescent="0.25">
      <c r="A186" s="33">
        <f>'LEARNERS DETAILS'!A182</f>
        <v>181</v>
      </c>
      <c r="B186" s="33">
        <f>'LEARNERS DETAILS'!B182</f>
        <v>0</v>
      </c>
      <c r="C186" s="33">
        <f>'LEARNERS DETAILS'!C182</f>
        <v>0</v>
      </c>
      <c r="D186" s="33">
        <f>'LEARNERS DETAILS'!D182</f>
        <v>0</v>
      </c>
      <c r="E186" s="69">
        <f>'LEARNERS DETAILS'!F182</f>
        <v>0</v>
      </c>
      <c r="F186" s="33" t="b">
        <f t="shared" si="12"/>
        <v>0</v>
      </c>
      <c r="G186" s="33"/>
      <c r="H186" s="33"/>
      <c r="I186" s="33"/>
      <c r="J186" s="33"/>
      <c r="K186" s="33">
        <f t="shared" si="9"/>
        <v>0</v>
      </c>
      <c r="L186" s="33">
        <f t="shared" si="10"/>
        <v>0</v>
      </c>
      <c r="M186" s="33" t="str">
        <f t="shared" si="11"/>
        <v>WITH BAL</v>
      </c>
    </row>
    <row r="187" spans="1:13" ht="15.75" x14ac:dyDescent="0.25">
      <c r="A187" s="33">
        <f>'LEARNERS DETAILS'!A183</f>
        <v>182</v>
      </c>
      <c r="B187" s="33">
        <f>'LEARNERS DETAILS'!B183</f>
        <v>0</v>
      </c>
      <c r="C187" s="33">
        <f>'LEARNERS DETAILS'!C183</f>
        <v>0</v>
      </c>
      <c r="D187" s="33">
        <f>'LEARNERS DETAILS'!D183</f>
        <v>0</v>
      </c>
      <c r="E187" s="69">
        <f>'LEARNERS DETAILS'!F183</f>
        <v>0</v>
      </c>
      <c r="F187" s="33" t="b">
        <f t="shared" si="12"/>
        <v>0</v>
      </c>
      <c r="G187" s="33"/>
      <c r="H187" s="33"/>
      <c r="I187" s="33"/>
      <c r="J187" s="33"/>
      <c r="K187" s="33">
        <f t="shared" si="9"/>
        <v>0</v>
      </c>
      <c r="L187" s="33">
        <f t="shared" si="10"/>
        <v>0</v>
      </c>
      <c r="M187" s="33" t="str">
        <f t="shared" si="11"/>
        <v>WITH BAL</v>
      </c>
    </row>
    <row r="188" spans="1:13" ht="15.75" x14ac:dyDescent="0.25">
      <c r="A188" s="33">
        <f>'LEARNERS DETAILS'!A184</f>
        <v>183</v>
      </c>
      <c r="B188" s="33">
        <f>'LEARNERS DETAILS'!B184</f>
        <v>0</v>
      </c>
      <c r="C188" s="33">
        <f>'LEARNERS DETAILS'!C184</f>
        <v>0</v>
      </c>
      <c r="D188" s="33">
        <f>'LEARNERS DETAILS'!D184</f>
        <v>0</v>
      </c>
      <c r="E188" s="69">
        <f>'LEARNERS DETAILS'!F184</f>
        <v>0</v>
      </c>
      <c r="F188" s="33" t="b">
        <f t="shared" si="12"/>
        <v>0</v>
      </c>
      <c r="G188" s="33"/>
      <c r="H188" s="33"/>
      <c r="I188" s="33"/>
      <c r="J188" s="33"/>
      <c r="K188" s="33">
        <f t="shared" si="9"/>
        <v>0</v>
      </c>
      <c r="L188" s="33">
        <f t="shared" si="10"/>
        <v>0</v>
      </c>
      <c r="M188" s="33" t="str">
        <f t="shared" si="11"/>
        <v>WITH BAL</v>
      </c>
    </row>
    <row r="189" spans="1:13" ht="15.75" x14ac:dyDescent="0.25">
      <c r="A189" s="33">
        <f>'LEARNERS DETAILS'!A185</f>
        <v>184</v>
      </c>
      <c r="B189" s="33">
        <f>'LEARNERS DETAILS'!B185</f>
        <v>0</v>
      </c>
      <c r="C189" s="33">
        <f>'LEARNERS DETAILS'!C185</f>
        <v>0</v>
      </c>
      <c r="D189" s="33">
        <f>'LEARNERS DETAILS'!D185</f>
        <v>0</v>
      </c>
      <c r="E189" s="69">
        <f>'LEARNERS DETAILS'!F185</f>
        <v>0</v>
      </c>
      <c r="F189" s="33" t="b">
        <f t="shared" si="12"/>
        <v>0</v>
      </c>
      <c r="G189" s="33"/>
      <c r="H189" s="33"/>
      <c r="I189" s="33"/>
      <c r="J189" s="33"/>
      <c r="K189" s="33">
        <f t="shared" si="9"/>
        <v>0</v>
      </c>
      <c r="L189" s="33">
        <f t="shared" si="10"/>
        <v>0</v>
      </c>
      <c r="M189" s="33" t="str">
        <f t="shared" si="11"/>
        <v>WITH BAL</v>
      </c>
    </row>
    <row r="190" spans="1:13" ht="15.75" x14ac:dyDescent="0.25">
      <c r="A190" s="33">
        <f>'LEARNERS DETAILS'!A186</f>
        <v>185</v>
      </c>
      <c r="B190" s="33">
        <f>'LEARNERS DETAILS'!B186</f>
        <v>0</v>
      </c>
      <c r="C190" s="33">
        <f>'LEARNERS DETAILS'!C186</f>
        <v>0</v>
      </c>
      <c r="D190" s="33">
        <f>'LEARNERS DETAILS'!D186</f>
        <v>0</v>
      </c>
      <c r="E190" s="69">
        <f>'LEARNERS DETAILS'!F186</f>
        <v>0</v>
      </c>
      <c r="F190" s="33" t="b">
        <f t="shared" si="12"/>
        <v>0</v>
      </c>
      <c r="G190" s="33"/>
      <c r="H190" s="33"/>
      <c r="I190" s="33"/>
      <c r="J190" s="33"/>
      <c r="K190" s="33">
        <f t="shared" si="9"/>
        <v>0</v>
      </c>
      <c r="L190" s="33">
        <f t="shared" si="10"/>
        <v>0</v>
      </c>
      <c r="M190" s="33" t="str">
        <f t="shared" si="11"/>
        <v>WITH BAL</v>
      </c>
    </row>
    <row r="191" spans="1:13" ht="15.75" x14ac:dyDescent="0.25">
      <c r="A191" s="33">
        <f>'LEARNERS DETAILS'!A187</f>
        <v>186</v>
      </c>
      <c r="B191" s="33">
        <f>'LEARNERS DETAILS'!B187</f>
        <v>0</v>
      </c>
      <c r="C191" s="33">
        <f>'LEARNERS DETAILS'!C187</f>
        <v>0</v>
      </c>
      <c r="D191" s="33">
        <f>'LEARNERS DETAILS'!D187</f>
        <v>0</v>
      </c>
      <c r="E191" s="69">
        <f>'LEARNERS DETAILS'!F187</f>
        <v>0</v>
      </c>
      <c r="F191" s="33" t="b">
        <f t="shared" si="12"/>
        <v>0</v>
      </c>
      <c r="G191" s="33"/>
      <c r="H191" s="33"/>
      <c r="I191" s="33"/>
      <c r="J191" s="33"/>
      <c r="K191" s="33">
        <f t="shared" si="9"/>
        <v>0</v>
      </c>
      <c r="L191" s="33">
        <f t="shared" si="10"/>
        <v>0</v>
      </c>
      <c r="M191" s="33" t="str">
        <f t="shared" si="11"/>
        <v>WITH BAL</v>
      </c>
    </row>
    <row r="192" spans="1:13" ht="15.75" x14ac:dyDescent="0.25">
      <c r="A192" s="33">
        <f>'LEARNERS DETAILS'!A188</f>
        <v>187</v>
      </c>
      <c r="B192" s="33">
        <f>'LEARNERS DETAILS'!B188</f>
        <v>0</v>
      </c>
      <c r="C192" s="33">
        <f>'LEARNERS DETAILS'!C188</f>
        <v>0</v>
      </c>
      <c r="D192" s="33">
        <f>'LEARNERS DETAILS'!D188</f>
        <v>0</v>
      </c>
      <c r="E192" s="69">
        <f>'LEARNERS DETAILS'!F188</f>
        <v>0</v>
      </c>
      <c r="F192" s="33" t="b">
        <f t="shared" si="12"/>
        <v>0</v>
      </c>
      <c r="G192" s="33"/>
      <c r="H192" s="33"/>
      <c r="I192" s="33"/>
      <c r="J192" s="33"/>
      <c r="K192" s="33">
        <f t="shared" si="9"/>
        <v>0</v>
      </c>
      <c r="L192" s="33">
        <f t="shared" si="10"/>
        <v>0</v>
      </c>
      <c r="M192" s="33" t="str">
        <f t="shared" si="11"/>
        <v>WITH BAL</v>
      </c>
    </row>
    <row r="193" spans="1:13" ht="15.75" x14ac:dyDescent="0.25">
      <c r="A193" s="33">
        <f>'LEARNERS DETAILS'!A189</f>
        <v>188</v>
      </c>
      <c r="B193" s="33">
        <f>'LEARNERS DETAILS'!B189</f>
        <v>0</v>
      </c>
      <c r="C193" s="33">
        <f>'LEARNERS DETAILS'!C189</f>
        <v>0</v>
      </c>
      <c r="D193" s="33">
        <f>'LEARNERS DETAILS'!D189</f>
        <v>0</v>
      </c>
      <c r="E193" s="69">
        <f>'LEARNERS DETAILS'!F189</f>
        <v>0</v>
      </c>
      <c r="F193" s="33" t="b">
        <f t="shared" si="12"/>
        <v>0</v>
      </c>
      <c r="G193" s="33"/>
      <c r="H193" s="33"/>
      <c r="I193" s="33"/>
      <c r="J193" s="33"/>
      <c r="K193" s="33">
        <f t="shared" si="9"/>
        <v>0</v>
      </c>
      <c r="L193" s="33">
        <f t="shared" si="10"/>
        <v>0</v>
      </c>
      <c r="M193" s="33" t="str">
        <f t="shared" si="11"/>
        <v>WITH BAL</v>
      </c>
    </row>
    <row r="194" spans="1:13" ht="15.75" x14ac:dyDescent="0.25">
      <c r="A194" s="33">
        <f>'LEARNERS DETAILS'!A190</f>
        <v>189</v>
      </c>
      <c r="B194" s="33">
        <f>'LEARNERS DETAILS'!B190</f>
        <v>0</v>
      </c>
      <c r="C194" s="33">
        <f>'LEARNERS DETAILS'!C190</f>
        <v>0</v>
      </c>
      <c r="D194" s="33">
        <f>'LEARNERS DETAILS'!D190</f>
        <v>0</v>
      </c>
      <c r="E194" s="69">
        <f>'LEARNERS DETAILS'!F190</f>
        <v>0</v>
      </c>
      <c r="F194" s="33" t="b">
        <f t="shared" si="12"/>
        <v>0</v>
      </c>
      <c r="G194" s="33"/>
      <c r="H194" s="33"/>
      <c r="I194" s="33"/>
      <c r="J194" s="33"/>
      <c r="K194" s="33">
        <f t="shared" si="9"/>
        <v>0</v>
      </c>
      <c r="L194" s="33">
        <f t="shared" si="10"/>
        <v>0</v>
      </c>
      <c r="M194" s="33" t="str">
        <f t="shared" si="11"/>
        <v>WITH BAL</v>
      </c>
    </row>
    <row r="195" spans="1:13" ht="15.75" x14ac:dyDescent="0.25">
      <c r="A195" s="33">
        <f>'LEARNERS DETAILS'!A191</f>
        <v>190</v>
      </c>
      <c r="B195" s="33">
        <f>'LEARNERS DETAILS'!B191</f>
        <v>0</v>
      </c>
      <c r="C195" s="33">
        <f>'LEARNERS DETAILS'!C191</f>
        <v>0</v>
      </c>
      <c r="D195" s="33">
        <f>'LEARNERS DETAILS'!D191</f>
        <v>0</v>
      </c>
      <c r="E195" s="69">
        <f>'LEARNERS DETAILS'!F191</f>
        <v>0</v>
      </c>
      <c r="F195" s="33" t="b">
        <f t="shared" si="12"/>
        <v>0</v>
      </c>
      <c r="G195" s="33"/>
      <c r="H195" s="33"/>
      <c r="I195" s="33"/>
      <c r="J195" s="33"/>
      <c r="K195" s="33">
        <f t="shared" si="9"/>
        <v>0</v>
      </c>
      <c r="L195" s="33">
        <f t="shared" si="10"/>
        <v>0</v>
      </c>
      <c r="M195" s="33" t="str">
        <f t="shared" si="11"/>
        <v>WITH BAL</v>
      </c>
    </row>
    <row r="196" spans="1:13" ht="15.75" x14ac:dyDescent="0.25">
      <c r="A196" s="33">
        <f>'LEARNERS DETAILS'!A192</f>
        <v>191</v>
      </c>
      <c r="B196" s="33">
        <f>'LEARNERS DETAILS'!B192</f>
        <v>0</v>
      </c>
      <c r="C196" s="33">
        <f>'LEARNERS DETAILS'!C192</f>
        <v>0</v>
      </c>
      <c r="D196" s="33">
        <f>'LEARNERS DETAILS'!D192</f>
        <v>0</v>
      </c>
      <c r="E196" s="69">
        <f>'LEARNERS DETAILS'!F192</f>
        <v>0</v>
      </c>
      <c r="F196" s="33" t="b">
        <f t="shared" si="12"/>
        <v>0</v>
      </c>
      <c r="G196" s="33"/>
      <c r="H196" s="33"/>
      <c r="I196" s="33"/>
      <c r="J196" s="33"/>
      <c r="K196" s="33">
        <f t="shared" si="9"/>
        <v>0</v>
      </c>
      <c r="L196" s="33">
        <f t="shared" si="10"/>
        <v>0</v>
      </c>
      <c r="M196" s="33" t="str">
        <f t="shared" si="11"/>
        <v>WITH BAL</v>
      </c>
    </row>
    <row r="197" spans="1:13" ht="15.75" x14ac:dyDescent="0.25">
      <c r="A197" s="33">
        <f>'LEARNERS DETAILS'!A193</f>
        <v>192</v>
      </c>
      <c r="B197" s="33">
        <f>'LEARNERS DETAILS'!B193</f>
        <v>0</v>
      </c>
      <c r="C197" s="33">
        <f>'LEARNERS DETAILS'!C193</f>
        <v>0</v>
      </c>
      <c r="D197" s="33">
        <f>'LEARNERS DETAILS'!D193</f>
        <v>0</v>
      </c>
      <c r="E197" s="69">
        <f>'LEARNERS DETAILS'!F193</f>
        <v>0</v>
      </c>
      <c r="F197" s="33" t="b">
        <f t="shared" si="12"/>
        <v>0</v>
      </c>
      <c r="G197" s="33"/>
      <c r="H197" s="33"/>
      <c r="I197" s="33"/>
      <c r="J197" s="33"/>
      <c r="K197" s="33">
        <f t="shared" si="9"/>
        <v>0</v>
      </c>
      <c r="L197" s="33">
        <f t="shared" si="10"/>
        <v>0</v>
      </c>
      <c r="M197" s="33" t="str">
        <f t="shared" si="11"/>
        <v>WITH BAL</v>
      </c>
    </row>
    <row r="198" spans="1:13" ht="15.75" x14ac:dyDescent="0.25">
      <c r="A198" s="33">
        <f>'LEARNERS DETAILS'!A194</f>
        <v>193</v>
      </c>
      <c r="B198" s="33">
        <f>'LEARNERS DETAILS'!B194</f>
        <v>0</v>
      </c>
      <c r="C198" s="33">
        <f>'LEARNERS DETAILS'!C194</f>
        <v>0</v>
      </c>
      <c r="D198" s="33">
        <f>'LEARNERS DETAILS'!D194</f>
        <v>0</v>
      </c>
      <c r="E198" s="69">
        <f>'LEARNERS DETAILS'!F194</f>
        <v>0</v>
      </c>
      <c r="F198" s="33" t="b">
        <f t="shared" si="12"/>
        <v>0</v>
      </c>
      <c r="G198" s="33"/>
      <c r="H198" s="33"/>
      <c r="I198" s="33"/>
      <c r="J198" s="33"/>
      <c r="K198" s="33">
        <f t="shared" si="9"/>
        <v>0</v>
      </c>
      <c r="L198" s="33">
        <f t="shared" si="10"/>
        <v>0</v>
      </c>
      <c r="M198" s="33" t="str">
        <f t="shared" si="11"/>
        <v>WITH BAL</v>
      </c>
    </row>
    <row r="199" spans="1:13" ht="15.75" x14ac:dyDescent="0.25">
      <c r="A199" s="33">
        <f>'LEARNERS DETAILS'!A195</f>
        <v>194</v>
      </c>
      <c r="B199" s="33">
        <f>'LEARNERS DETAILS'!B195</f>
        <v>0</v>
      </c>
      <c r="C199" s="33">
        <f>'LEARNERS DETAILS'!C195</f>
        <v>0</v>
      </c>
      <c r="D199" s="33">
        <f>'LEARNERS DETAILS'!D195</f>
        <v>0</v>
      </c>
      <c r="E199" s="69">
        <f>'LEARNERS DETAILS'!F195</f>
        <v>0</v>
      </c>
      <c r="F199" s="33" t="b">
        <f t="shared" si="12"/>
        <v>0</v>
      </c>
      <c r="G199" s="33"/>
      <c r="H199" s="33"/>
      <c r="I199" s="33"/>
      <c r="J199" s="33"/>
      <c r="K199" s="33">
        <f t="shared" ref="K199:K219" si="13">SUM(G199:J199)</f>
        <v>0</v>
      </c>
      <c r="L199" s="33">
        <f t="shared" ref="L199:L219" si="14">F199-K199</f>
        <v>0</v>
      </c>
      <c r="M199" s="33" t="str">
        <f t="shared" ref="M199:M219" si="15">IF(K199&gt;=F199,"CLEARED",IF(K199&lt;F199,"WITH BAL","FALSE"))</f>
        <v>WITH BAL</v>
      </c>
    </row>
    <row r="200" spans="1:13" ht="15.75" x14ac:dyDescent="0.25">
      <c r="A200" s="33">
        <f>'LEARNERS DETAILS'!A196</f>
        <v>195</v>
      </c>
      <c r="B200" s="33">
        <f>'LEARNERS DETAILS'!B196</f>
        <v>0</v>
      </c>
      <c r="C200" s="33">
        <f>'LEARNERS DETAILS'!C196</f>
        <v>0</v>
      </c>
      <c r="D200" s="33">
        <f>'LEARNERS DETAILS'!D196</f>
        <v>0</v>
      </c>
      <c r="E200" s="69">
        <f>'LEARNERS DETAILS'!F196</f>
        <v>0</v>
      </c>
      <c r="F200" s="33" t="b">
        <f t="shared" ref="F200:F219" si="16">IF(C200="GRADE 1",1000,IF(C200="GRADE 2",2000,IF(C200="GRADE 3",3000,IF(C200="GRADE 4",4000,IF(C200="GRADE 5",4000,IF(C200="GRADE 6",5000,IF(C200="GRADE 7",6000,IF(C200="GRADE 8",7000,IF(C200="GRADE 9",8000,IF(C200="GRADE 10",9000,IF(C200="GRADE 11",10000,IF(C200="GRADE 12",11000))))))))))))</f>
        <v>0</v>
      </c>
      <c r="G200" s="33"/>
      <c r="H200" s="33"/>
      <c r="I200" s="33"/>
      <c r="J200" s="33"/>
      <c r="K200" s="33">
        <f t="shared" si="13"/>
        <v>0</v>
      </c>
      <c r="L200" s="33">
        <f t="shared" si="14"/>
        <v>0</v>
      </c>
      <c r="M200" s="33" t="str">
        <f t="shared" si="15"/>
        <v>WITH BAL</v>
      </c>
    </row>
    <row r="201" spans="1:13" ht="15.75" x14ac:dyDescent="0.25">
      <c r="A201" s="33">
        <f>'LEARNERS DETAILS'!A197</f>
        <v>196</v>
      </c>
      <c r="B201" s="33">
        <f>'LEARNERS DETAILS'!B197</f>
        <v>0</v>
      </c>
      <c r="C201" s="33">
        <f>'LEARNERS DETAILS'!C197</f>
        <v>0</v>
      </c>
      <c r="D201" s="33">
        <f>'LEARNERS DETAILS'!D197</f>
        <v>0</v>
      </c>
      <c r="E201" s="69">
        <f>'LEARNERS DETAILS'!F197</f>
        <v>0</v>
      </c>
      <c r="F201" s="33" t="b">
        <f t="shared" si="16"/>
        <v>0</v>
      </c>
      <c r="G201" s="33"/>
      <c r="H201" s="33"/>
      <c r="I201" s="33"/>
      <c r="J201" s="33"/>
      <c r="K201" s="33">
        <f t="shared" si="13"/>
        <v>0</v>
      </c>
      <c r="L201" s="33">
        <f t="shared" si="14"/>
        <v>0</v>
      </c>
      <c r="M201" s="33" t="str">
        <f t="shared" si="15"/>
        <v>WITH BAL</v>
      </c>
    </row>
    <row r="202" spans="1:13" ht="15.75" x14ac:dyDescent="0.25">
      <c r="A202" s="33">
        <f>'LEARNERS DETAILS'!A198</f>
        <v>197</v>
      </c>
      <c r="B202" s="33">
        <f>'LEARNERS DETAILS'!B198</f>
        <v>0</v>
      </c>
      <c r="C202" s="33">
        <f>'LEARNERS DETAILS'!C198</f>
        <v>0</v>
      </c>
      <c r="D202" s="33">
        <f>'LEARNERS DETAILS'!D198</f>
        <v>0</v>
      </c>
      <c r="E202" s="69">
        <f>'LEARNERS DETAILS'!F198</f>
        <v>0</v>
      </c>
      <c r="F202" s="33" t="b">
        <f t="shared" si="16"/>
        <v>0</v>
      </c>
      <c r="G202" s="33"/>
      <c r="H202" s="33"/>
      <c r="I202" s="33"/>
      <c r="J202" s="33"/>
      <c r="K202" s="33">
        <f t="shared" si="13"/>
        <v>0</v>
      </c>
      <c r="L202" s="33">
        <f t="shared" si="14"/>
        <v>0</v>
      </c>
      <c r="M202" s="33" t="str">
        <f t="shared" si="15"/>
        <v>WITH BAL</v>
      </c>
    </row>
    <row r="203" spans="1:13" ht="15.75" x14ac:dyDescent="0.25">
      <c r="A203" s="33">
        <f>'LEARNERS DETAILS'!A199</f>
        <v>198</v>
      </c>
      <c r="B203" s="33">
        <f>'LEARNERS DETAILS'!B199</f>
        <v>0</v>
      </c>
      <c r="C203" s="33">
        <f>'LEARNERS DETAILS'!C199</f>
        <v>0</v>
      </c>
      <c r="D203" s="33">
        <f>'LEARNERS DETAILS'!D199</f>
        <v>0</v>
      </c>
      <c r="E203" s="69">
        <f>'LEARNERS DETAILS'!F199</f>
        <v>0</v>
      </c>
      <c r="F203" s="33" t="b">
        <f t="shared" si="16"/>
        <v>0</v>
      </c>
      <c r="G203" s="33"/>
      <c r="H203" s="33"/>
      <c r="I203" s="33"/>
      <c r="J203" s="33"/>
      <c r="K203" s="33">
        <f t="shared" si="13"/>
        <v>0</v>
      </c>
      <c r="L203" s="33">
        <f t="shared" si="14"/>
        <v>0</v>
      </c>
      <c r="M203" s="33" t="str">
        <f t="shared" si="15"/>
        <v>WITH BAL</v>
      </c>
    </row>
    <row r="204" spans="1:13" ht="15.75" x14ac:dyDescent="0.25">
      <c r="A204" s="33">
        <f>'LEARNERS DETAILS'!A200</f>
        <v>199</v>
      </c>
      <c r="B204" s="33">
        <f>'LEARNERS DETAILS'!B200</f>
        <v>0</v>
      </c>
      <c r="C204" s="33">
        <f>'LEARNERS DETAILS'!C200</f>
        <v>0</v>
      </c>
      <c r="D204" s="33">
        <f>'LEARNERS DETAILS'!D200</f>
        <v>0</v>
      </c>
      <c r="E204" s="69">
        <f>'LEARNERS DETAILS'!F200</f>
        <v>0</v>
      </c>
      <c r="F204" s="33" t="b">
        <f t="shared" si="16"/>
        <v>0</v>
      </c>
      <c r="G204" s="33"/>
      <c r="H204" s="33"/>
      <c r="I204" s="33"/>
      <c r="J204" s="33"/>
      <c r="K204" s="33">
        <f t="shared" si="13"/>
        <v>0</v>
      </c>
      <c r="L204" s="33">
        <f t="shared" si="14"/>
        <v>0</v>
      </c>
      <c r="M204" s="33" t="str">
        <f t="shared" si="15"/>
        <v>WITH BAL</v>
      </c>
    </row>
    <row r="205" spans="1:13" ht="15.75" x14ac:dyDescent="0.25">
      <c r="A205" s="33">
        <f>'LEARNERS DETAILS'!A201</f>
        <v>200</v>
      </c>
      <c r="B205" s="33">
        <f>'LEARNERS DETAILS'!B201</f>
        <v>0</v>
      </c>
      <c r="C205" s="33">
        <f>'LEARNERS DETAILS'!C201</f>
        <v>0</v>
      </c>
      <c r="D205" s="33">
        <f>'LEARNERS DETAILS'!D201</f>
        <v>0</v>
      </c>
      <c r="E205" s="69">
        <f>'LEARNERS DETAILS'!F201</f>
        <v>0</v>
      </c>
      <c r="F205" s="33" t="b">
        <f t="shared" si="16"/>
        <v>0</v>
      </c>
      <c r="G205" s="33"/>
      <c r="H205" s="33"/>
      <c r="I205" s="33"/>
      <c r="J205" s="33"/>
      <c r="K205" s="33">
        <f t="shared" si="13"/>
        <v>0</v>
      </c>
      <c r="L205" s="33">
        <f t="shared" si="14"/>
        <v>0</v>
      </c>
      <c r="M205" s="33" t="str">
        <f t="shared" si="15"/>
        <v>WITH BAL</v>
      </c>
    </row>
    <row r="206" spans="1:13" ht="15.75" x14ac:dyDescent="0.25">
      <c r="A206" s="33">
        <f>'LEARNERS DETAILS'!A202</f>
        <v>201</v>
      </c>
      <c r="B206" s="33">
        <f>'LEARNERS DETAILS'!B202</f>
        <v>0</v>
      </c>
      <c r="C206" s="33">
        <f>'LEARNERS DETAILS'!C202</f>
        <v>0</v>
      </c>
      <c r="D206" s="33">
        <f>'LEARNERS DETAILS'!D202</f>
        <v>0</v>
      </c>
      <c r="E206" s="69">
        <f>'LEARNERS DETAILS'!F202</f>
        <v>0</v>
      </c>
      <c r="F206" s="33" t="b">
        <f t="shared" si="16"/>
        <v>0</v>
      </c>
      <c r="G206" s="33"/>
      <c r="H206" s="33"/>
      <c r="I206" s="33"/>
      <c r="J206" s="33"/>
      <c r="K206" s="33">
        <f t="shared" si="13"/>
        <v>0</v>
      </c>
      <c r="L206" s="33">
        <f t="shared" si="14"/>
        <v>0</v>
      </c>
      <c r="M206" s="33" t="str">
        <f t="shared" si="15"/>
        <v>WITH BAL</v>
      </c>
    </row>
    <row r="207" spans="1:13" ht="15.75" x14ac:dyDescent="0.25">
      <c r="A207" s="33">
        <f>'LEARNERS DETAILS'!A203</f>
        <v>202</v>
      </c>
      <c r="B207" s="33">
        <f>'LEARNERS DETAILS'!B203</f>
        <v>0</v>
      </c>
      <c r="C207" s="33">
        <f>'LEARNERS DETAILS'!C203</f>
        <v>0</v>
      </c>
      <c r="D207" s="33">
        <f>'LEARNERS DETAILS'!D203</f>
        <v>0</v>
      </c>
      <c r="E207" s="69">
        <f>'LEARNERS DETAILS'!F203</f>
        <v>0</v>
      </c>
      <c r="F207" s="33" t="b">
        <f t="shared" si="16"/>
        <v>0</v>
      </c>
      <c r="G207" s="33"/>
      <c r="H207" s="33"/>
      <c r="I207" s="33"/>
      <c r="J207" s="33"/>
      <c r="K207" s="33">
        <f t="shared" si="13"/>
        <v>0</v>
      </c>
      <c r="L207" s="33">
        <f t="shared" si="14"/>
        <v>0</v>
      </c>
      <c r="M207" s="33" t="str">
        <f t="shared" si="15"/>
        <v>WITH BAL</v>
      </c>
    </row>
    <row r="208" spans="1:13" ht="15.75" x14ac:dyDescent="0.25">
      <c r="A208" s="33">
        <f>'LEARNERS DETAILS'!A204</f>
        <v>203</v>
      </c>
      <c r="B208" s="33">
        <f>'LEARNERS DETAILS'!B204</f>
        <v>0</v>
      </c>
      <c r="C208" s="33">
        <f>'LEARNERS DETAILS'!C204</f>
        <v>0</v>
      </c>
      <c r="D208" s="33">
        <f>'LEARNERS DETAILS'!D204</f>
        <v>0</v>
      </c>
      <c r="E208" s="69">
        <f>'LEARNERS DETAILS'!F204</f>
        <v>0</v>
      </c>
      <c r="F208" s="33" t="b">
        <f t="shared" si="16"/>
        <v>0</v>
      </c>
      <c r="G208" s="33"/>
      <c r="H208" s="33"/>
      <c r="I208" s="33"/>
      <c r="J208" s="33"/>
      <c r="K208" s="33">
        <f t="shared" si="13"/>
        <v>0</v>
      </c>
      <c r="L208" s="33">
        <f t="shared" si="14"/>
        <v>0</v>
      </c>
      <c r="M208" s="33" t="str">
        <f t="shared" si="15"/>
        <v>WITH BAL</v>
      </c>
    </row>
    <row r="209" spans="1:13" ht="15.75" x14ac:dyDescent="0.25">
      <c r="A209" s="33">
        <f>'LEARNERS DETAILS'!A205</f>
        <v>204</v>
      </c>
      <c r="B209" s="33">
        <f>'LEARNERS DETAILS'!B205</f>
        <v>0</v>
      </c>
      <c r="C209" s="33">
        <f>'LEARNERS DETAILS'!C205</f>
        <v>0</v>
      </c>
      <c r="D209" s="33">
        <f>'LEARNERS DETAILS'!D205</f>
        <v>0</v>
      </c>
      <c r="E209" s="69">
        <f>'LEARNERS DETAILS'!F205</f>
        <v>0</v>
      </c>
      <c r="F209" s="33" t="b">
        <f t="shared" si="16"/>
        <v>0</v>
      </c>
      <c r="G209" s="33"/>
      <c r="H209" s="33"/>
      <c r="I209" s="33"/>
      <c r="J209" s="33"/>
      <c r="K209" s="33">
        <f t="shared" si="13"/>
        <v>0</v>
      </c>
      <c r="L209" s="33">
        <f t="shared" si="14"/>
        <v>0</v>
      </c>
      <c r="M209" s="33" t="str">
        <f t="shared" si="15"/>
        <v>WITH BAL</v>
      </c>
    </row>
    <row r="210" spans="1:13" ht="15.75" x14ac:dyDescent="0.25">
      <c r="A210" s="33">
        <f>'LEARNERS DETAILS'!A206</f>
        <v>205</v>
      </c>
      <c r="B210" s="33">
        <f>'LEARNERS DETAILS'!B206</f>
        <v>0</v>
      </c>
      <c r="C210" s="33">
        <f>'LEARNERS DETAILS'!C206</f>
        <v>0</v>
      </c>
      <c r="D210" s="33">
        <f>'LEARNERS DETAILS'!D206</f>
        <v>0</v>
      </c>
      <c r="E210" s="69">
        <f>'LEARNERS DETAILS'!F206</f>
        <v>0</v>
      </c>
      <c r="F210" s="33" t="b">
        <f t="shared" si="16"/>
        <v>0</v>
      </c>
      <c r="G210" s="33"/>
      <c r="H210" s="33"/>
      <c r="I210" s="33"/>
      <c r="J210" s="33"/>
      <c r="K210" s="33">
        <f t="shared" si="13"/>
        <v>0</v>
      </c>
      <c r="L210" s="33">
        <f t="shared" si="14"/>
        <v>0</v>
      </c>
      <c r="M210" s="33" t="str">
        <f t="shared" si="15"/>
        <v>WITH BAL</v>
      </c>
    </row>
    <row r="211" spans="1:13" ht="15.75" x14ac:dyDescent="0.25">
      <c r="A211" s="33">
        <f>'LEARNERS DETAILS'!A207</f>
        <v>206</v>
      </c>
      <c r="B211" s="33">
        <f>'LEARNERS DETAILS'!B207</f>
        <v>0</v>
      </c>
      <c r="C211" s="33">
        <f>'LEARNERS DETAILS'!C207</f>
        <v>0</v>
      </c>
      <c r="D211" s="33">
        <f>'LEARNERS DETAILS'!D207</f>
        <v>0</v>
      </c>
      <c r="E211" s="69">
        <f>'LEARNERS DETAILS'!F207</f>
        <v>0</v>
      </c>
      <c r="F211" s="33" t="b">
        <f t="shared" si="16"/>
        <v>0</v>
      </c>
      <c r="G211" s="33"/>
      <c r="H211" s="33"/>
      <c r="I211" s="33"/>
      <c r="J211" s="33"/>
      <c r="K211" s="33">
        <f t="shared" si="13"/>
        <v>0</v>
      </c>
      <c r="L211" s="33">
        <f t="shared" si="14"/>
        <v>0</v>
      </c>
      <c r="M211" s="33" t="str">
        <f t="shared" si="15"/>
        <v>WITH BAL</v>
      </c>
    </row>
    <row r="212" spans="1:13" ht="15.75" x14ac:dyDescent="0.25">
      <c r="A212" s="33">
        <f>'LEARNERS DETAILS'!A208</f>
        <v>207</v>
      </c>
      <c r="B212" s="33">
        <f>'LEARNERS DETAILS'!B208</f>
        <v>0</v>
      </c>
      <c r="C212" s="33">
        <f>'LEARNERS DETAILS'!C208</f>
        <v>0</v>
      </c>
      <c r="D212" s="33">
        <f>'LEARNERS DETAILS'!D208</f>
        <v>0</v>
      </c>
      <c r="E212" s="69">
        <f>'LEARNERS DETAILS'!F208</f>
        <v>0</v>
      </c>
      <c r="F212" s="33" t="b">
        <f t="shared" si="16"/>
        <v>0</v>
      </c>
      <c r="G212" s="33"/>
      <c r="H212" s="33"/>
      <c r="I212" s="33"/>
      <c r="J212" s="33"/>
      <c r="K212" s="33">
        <f t="shared" si="13"/>
        <v>0</v>
      </c>
      <c r="L212" s="33">
        <f t="shared" si="14"/>
        <v>0</v>
      </c>
      <c r="M212" s="33" t="str">
        <f t="shared" si="15"/>
        <v>WITH BAL</v>
      </c>
    </row>
    <row r="213" spans="1:13" ht="15.75" x14ac:dyDescent="0.25">
      <c r="A213" s="33">
        <f>'LEARNERS DETAILS'!A209</f>
        <v>208</v>
      </c>
      <c r="B213" s="33">
        <f>'LEARNERS DETAILS'!B209</f>
        <v>0</v>
      </c>
      <c r="C213" s="33">
        <f>'LEARNERS DETAILS'!C209</f>
        <v>0</v>
      </c>
      <c r="D213" s="33">
        <f>'LEARNERS DETAILS'!D209</f>
        <v>0</v>
      </c>
      <c r="E213" s="69">
        <f>'LEARNERS DETAILS'!F209</f>
        <v>0</v>
      </c>
      <c r="F213" s="33" t="b">
        <f t="shared" si="16"/>
        <v>0</v>
      </c>
      <c r="G213" s="33"/>
      <c r="H213" s="33"/>
      <c r="I213" s="33"/>
      <c r="J213" s="33"/>
      <c r="K213" s="33">
        <f t="shared" si="13"/>
        <v>0</v>
      </c>
      <c r="L213" s="33">
        <f t="shared" si="14"/>
        <v>0</v>
      </c>
      <c r="M213" s="33" t="str">
        <f t="shared" si="15"/>
        <v>WITH BAL</v>
      </c>
    </row>
    <row r="214" spans="1:13" ht="15.75" x14ac:dyDescent="0.25">
      <c r="A214" s="33">
        <f>'LEARNERS DETAILS'!A210</f>
        <v>209</v>
      </c>
      <c r="B214" s="33">
        <f>'LEARNERS DETAILS'!B210</f>
        <v>0</v>
      </c>
      <c r="C214" s="33">
        <f>'LEARNERS DETAILS'!C210</f>
        <v>0</v>
      </c>
      <c r="D214" s="33">
        <f>'LEARNERS DETAILS'!D210</f>
        <v>0</v>
      </c>
      <c r="E214" s="69">
        <f>'LEARNERS DETAILS'!F210</f>
        <v>0</v>
      </c>
      <c r="F214" s="33" t="b">
        <f t="shared" si="16"/>
        <v>0</v>
      </c>
      <c r="G214" s="33"/>
      <c r="H214" s="33"/>
      <c r="I214" s="33"/>
      <c r="J214" s="33"/>
      <c r="K214" s="33">
        <f t="shared" si="13"/>
        <v>0</v>
      </c>
      <c r="L214" s="33">
        <f t="shared" si="14"/>
        <v>0</v>
      </c>
      <c r="M214" s="33" t="str">
        <f t="shared" si="15"/>
        <v>WITH BAL</v>
      </c>
    </row>
    <row r="215" spans="1:13" ht="15.75" x14ac:dyDescent="0.25">
      <c r="A215" s="33">
        <f>'LEARNERS DETAILS'!A211</f>
        <v>210</v>
      </c>
      <c r="B215" s="33">
        <f>'LEARNERS DETAILS'!B211</f>
        <v>0</v>
      </c>
      <c r="C215" s="33">
        <f>'LEARNERS DETAILS'!C211</f>
        <v>0</v>
      </c>
      <c r="D215" s="33">
        <f>'LEARNERS DETAILS'!D211</f>
        <v>0</v>
      </c>
      <c r="E215" s="69">
        <f>'LEARNERS DETAILS'!F211</f>
        <v>0</v>
      </c>
      <c r="F215" s="33" t="b">
        <f t="shared" si="16"/>
        <v>0</v>
      </c>
      <c r="G215" s="33"/>
      <c r="H215" s="33"/>
      <c r="I215" s="33"/>
      <c r="J215" s="33"/>
      <c r="K215" s="33">
        <f t="shared" si="13"/>
        <v>0</v>
      </c>
      <c r="L215" s="33">
        <f t="shared" si="14"/>
        <v>0</v>
      </c>
      <c r="M215" s="33" t="str">
        <f t="shared" si="15"/>
        <v>WITH BAL</v>
      </c>
    </row>
    <row r="216" spans="1:13" ht="15.75" x14ac:dyDescent="0.25">
      <c r="A216" s="33">
        <f>'LEARNERS DETAILS'!A212</f>
        <v>211</v>
      </c>
      <c r="B216" s="33">
        <f>'LEARNERS DETAILS'!B212</f>
        <v>0</v>
      </c>
      <c r="C216" s="33">
        <f>'LEARNERS DETAILS'!C212</f>
        <v>0</v>
      </c>
      <c r="D216" s="33">
        <f>'LEARNERS DETAILS'!D212</f>
        <v>0</v>
      </c>
      <c r="E216" s="69">
        <f>'LEARNERS DETAILS'!F212</f>
        <v>0</v>
      </c>
      <c r="F216" s="33" t="b">
        <f t="shared" si="16"/>
        <v>0</v>
      </c>
      <c r="G216" s="33"/>
      <c r="H216" s="33"/>
      <c r="I216" s="33"/>
      <c r="J216" s="33"/>
      <c r="K216" s="33">
        <f t="shared" si="13"/>
        <v>0</v>
      </c>
      <c r="L216" s="33">
        <f t="shared" si="14"/>
        <v>0</v>
      </c>
      <c r="M216" s="33" t="str">
        <f t="shared" si="15"/>
        <v>WITH BAL</v>
      </c>
    </row>
    <row r="217" spans="1:13" ht="15.75" x14ac:dyDescent="0.25">
      <c r="A217" s="33">
        <f>'LEARNERS DETAILS'!A213</f>
        <v>212</v>
      </c>
      <c r="B217" s="33">
        <f>'LEARNERS DETAILS'!B213</f>
        <v>0</v>
      </c>
      <c r="C217" s="33">
        <f>'LEARNERS DETAILS'!C213</f>
        <v>0</v>
      </c>
      <c r="D217" s="33">
        <f>'LEARNERS DETAILS'!D213</f>
        <v>0</v>
      </c>
      <c r="E217" s="69">
        <f>'LEARNERS DETAILS'!F213</f>
        <v>0</v>
      </c>
      <c r="F217" s="33" t="b">
        <f t="shared" si="16"/>
        <v>0</v>
      </c>
      <c r="G217" s="33"/>
      <c r="H217" s="33"/>
      <c r="I217" s="33"/>
      <c r="J217" s="33"/>
      <c r="K217" s="33">
        <f t="shared" si="13"/>
        <v>0</v>
      </c>
      <c r="L217" s="33">
        <f t="shared" si="14"/>
        <v>0</v>
      </c>
      <c r="M217" s="33" t="str">
        <f t="shared" si="15"/>
        <v>WITH BAL</v>
      </c>
    </row>
    <row r="218" spans="1:13" ht="15.75" x14ac:dyDescent="0.25">
      <c r="A218" s="33">
        <f>'LEARNERS DETAILS'!A214</f>
        <v>213</v>
      </c>
      <c r="B218" s="33">
        <f>'LEARNERS DETAILS'!B214</f>
        <v>0</v>
      </c>
      <c r="C218" s="33">
        <f>'LEARNERS DETAILS'!C214</f>
        <v>0</v>
      </c>
      <c r="D218" s="33">
        <f>'LEARNERS DETAILS'!D214</f>
        <v>0</v>
      </c>
      <c r="E218" s="69">
        <f>'LEARNERS DETAILS'!F214</f>
        <v>0</v>
      </c>
      <c r="F218" s="33" t="b">
        <f t="shared" si="16"/>
        <v>0</v>
      </c>
      <c r="G218" s="33"/>
      <c r="H218" s="33"/>
      <c r="I218" s="33"/>
      <c r="J218" s="33"/>
      <c r="K218" s="33">
        <f t="shared" si="13"/>
        <v>0</v>
      </c>
      <c r="L218" s="33">
        <f t="shared" si="14"/>
        <v>0</v>
      </c>
      <c r="M218" s="33" t="str">
        <f t="shared" si="15"/>
        <v>WITH BAL</v>
      </c>
    </row>
    <row r="219" spans="1:13" ht="15.75" x14ac:dyDescent="0.25">
      <c r="A219" s="33">
        <f>'LEARNERS DETAILS'!A215</f>
        <v>214</v>
      </c>
      <c r="B219" s="33">
        <f>'LEARNERS DETAILS'!B215</f>
        <v>0</v>
      </c>
      <c r="C219" s="33">
        <f>'LEARNERS DETAILS'!C215</f>
        <v>0</v>
      </c>
      <c r="D219" s="33">
        <f>'LEARNERS DETAILS'!D215</f>
        <v>0</v>
      </c>
      <c r="E219" s="69">
        <f>'LEARNERS DETAILS'!F215</f>
        <v>0</v>
      </c>
      <c r="F219" s="33" t="b">
        <f t="shared" si="16"/>
        <v>0</v>
      </c>
      <c r="G219" s="33"/>
      <c r="H219" s="33"/>
      <c r="I219" s="33"/>
      <c r="J219" s="33"/>
      <c r="K219" s="33">
        <f t="shared" si="13"/>
        <v>0</v>
      </c>
      <c r="L219" s="33">
        <f t="shared" si="14"/>
        <v>0</v>
      </c>
      <c r="M219" s="33" t="str">
        <f t="shared" si="15"/>
        <v>WITH BAL</v>
      </c>
    </row>
  </sheetData>
  <sheetProtection password="CC3D" sheet="1" objects="1" scenarios="1"/>
  <mergeCells count="1">
    <mergeCell ref="A3:M3"/>
  </mergeCells>
  <conditionalFormatting sqref="M1:M1048576">
    <cfRule type="cellIs" dxfId="3" priority="2" operator="equal">
      <formula>"WITH BAL"</formula>
    </cfRule>
  </conditionalFormatting>
  <conditionalFormatting sqref="B6:M219">
    <cfRule type="expression" dxfId="2" priority="1">
      <formula>$C6="ABSENT"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0.39997558519241921"/>
  </sheetPr>
  <dimension ref="A1:O23"/>
  <sheetViews>
    <sheetView zoomScale="90" zoomScaleNormal="90" workbookViewId="0">
      <selection sqref="A1:H1"/>
    </sheetView>
  </sheetViews>
  <sheetFormatPr defaultRowHeight="15" x14ac:dyDescent="0.25"/>
  <cols>
    <col min="1" max="1" width="12.7109375" customWidth="1"/>
    <col min="5" max="5" width="14.5703125" customWidth="1"/>
  </cols>
  <sheetData>
    <row r="1" spans="1:15" ht="22.5" x14ac:dyDescent="0.3">
      <c r="A1" s="93" t="s">
        <v>64</v>
      </c>
      <c r="B1" s="93"/>
      <c r="C1" s="93"/>
      <c r="D1" s="93"/>
      <c r="E1" s="93"/>
      <c r="F1" s="93"/>
      <c r="G1" s="93"/>
      <c r="H1" s="93"/>
    </row>
    <row r="2" spans="1:15" ht="22.5" x14ac:dyDescent="0.3">
      <c r="A2" s="93" t="s">
        <v>65</v>
      </c>
      <c r="B2" s="93"/>
      <c r="C2" s="93"/>
      <c r="D2" s="93"/>
      <c r="E2" s="93"/>
      <c r="F2" s="93"/>
      <c r="G2" s="93"/>
      <c r="H2" s="93"/>
    </row>
    <row r="3" spans="1:15" ht="18.75" x14ac:dyDescent="0.3">
      <c r="A3" s="94" t="s">
        <v>66</v>
      </c>
      <c r="B3" s="94"/>
      <c r="C3" s="94"/>
      <c r="D3" s="94"/>
      <c r="E3" s="94"/>
      <c r="F3" s="94"/>
      <c r="G3" s="94"/>
      <c r="H3" s="94"/>
    </row>
    <row r="4" spans="1:15" ht="18.75" x14ac:dyDescent="0.3">
      <c r="A4" s="95" t="s">
        <v>67</v>
      </c>
      <c r="B4" s="95"/>
      <c r="C4" s="95"/>
      <c r="D4" s="95"/>
      <c r="E4" s="95"/>
      <c r="F4" s="95"/>
      <c r="G4" s="95"/>
      <c r="H4" s="95"/>
    </row>
    <row r="5" spans="1:15" ht="18.75" x14ac:dyDescent="0.3">
      <c r="A5" s="43"/>
      <c r="B5" s="43"/>
      <c r="C5" s="43"/>
      <c r="D5" s="43"/>
      <c r="E5" s="43"/>
      <c r="F5" s="43"/>
      <c r="G5" s="43"/>
      <c r="H5" s="43"/>
    </row>
    <row r="6" spans="1:15" ht="21" thickBot="1" x14ac:dyDescent="0.35">
      <c r="A6" s="96" t="s">
        <v>68</v>
      </c>
      <c r="B6" s="96"/>
      <c r="C6" s="96"/>
      <c r="D6" s="96"/>
      <c r="E6" s="96"/>
      <c r="F6" s="96"/>
      <c r="G6" s="96"/>
      <c r="H6" s="96"/>
    </row>
    <row r="7" spans="1:15" ht="20.25" thickBot="1" x14ac:dyDescent="0.35">
      <c r="A7" s="44" t="s">
        <v>4</v>
      </c>
      <c r="B7" s="97">
        <f>IFERROR(VLOOKUP(I9,ADMLEARNERS,1,0),"")</f>
        <v>2</v>
      </c>
      <c r="C7" s="97"/>
      <c r="D7" s="97"/>
      <c r="E7" s="44" t="s">
        <v>8</v>
      </c>
      <c r="F7" s="98">
        <f>IFERROR(VLOOKUP(I9,ADMLEARNERS,6,0),"")</f>
        <v>45608</v>
      </c>
      <c r="G7" s="98"/>
      <c r="H7" s="98"/>
    </row>
    <row r="8" spans="1:15" ht="15.75" thickBot="1" x14ac:dyDescent="0.3">
      <c r="A8" s="40"/>
      <c r="B8" s="40"/>
      <c r="C8" s="40"/>
      <c r="D8" s="40"/>
      <c r="E8" s="40"/>
      <c r="F8" s="40"/>
      <c r="G8" s="40"/>
      <c r="H8" s="40"/>
      <c r="I8" s="41"/>
      <c r="J8" s="41"/>
      <c r="K8" s="41"/>
      <c r="L8" s="41"/>
      <c r="M8" s="41"/>
      <c r="N8" s="41"/>
      <c r="O8" s="41"/>
    </row>
    <row r="9" spans="1:15" ht="20.25" thickBot="1" x14ac:dyDescent="0.35">
      <c r="A9" s="44" t="s">
        <v>5</v>
      </c>
      <c r="B9" s="97" t="str">
        <f>IFERROR(VLOOKUP(I9,ADMLEARNERS,2,0),"")</f>
        <v>Ethan</v>
      </c>
      <c r="C9" s="97"/>
      <c r="D9" s="97"/>
      <c r="E9" s="44" t="s">
        <v>9</v>
      </c>
      <c r="F9" s="97">
        <f>IFERROR(VLOOKUP(I9,ADMLEARNERS,7,0),"")</f>
        <v>10000</v>
      </c>
      <c r="G9" s="97"/>
      <c r="H9" s="97"/>
      <c r="I9" s="92">
        <v>2</v>
      </c>
      <c r="J9" s="92"/>
      <c r="K9" s="92"/>
      <c r="L9" s="92"/>
      <c r="M9" s="91" t="s">
        <v>69</v>
      </c>
      <c r="N9" s="91"/>
      <c r="O9" s="41"/>
    </row>
    <row r="10" spans="1:15" ht="15.75" thickBot="1" x14ac:dyDescent="0.3">
      <c r="A10" s="40"/>
      <c r="B10" s="40"/>
      <c r="C10" s="40"/>
      <c r="D10" s="40"/>
      <c r="E10" s="40"/>
      <c r="F10" s="40"/>
      <c r="G10" s="40"/>
      <c r="H10" s="40"/>
      <c r="I10" s="92"/>
      <c r="J10" s="92"/>
      <c r="K10" s="92"/>
      <c r="L10" s="92"/>
      <c r="M10" s="91"/>
      <c r="N10" s="91"/>
      <c r="O10" s="41"/>
    </row>
    <row r="11" spans="1:15" ht="20.25" thickBot="1" x14ac:dyDescent="0.35">
      <c r="A11" s="44" t="s">
        <v>6</v>
      </c>
      <c r="B11" s="97" t="str">
        <f>IFERROR(VLOOKUP(I9,ADMLEARNERS,3,0),"")</f>
        <v>GRADE 4</v>
      </c>
      <c r="C11" s="97"/>
      <c r="D11" s="97"/>
      <c r="E11" s="44" t="s">
        <v>60</v>
      </c>
      <c r="F11" s="97" t="str">
        <f>IFERROR(VLOOKUP(I9,ADMLEARNERS,8,0),"")</f>
        <v>Joyce Wanjiru</v>
      </c>
      <c r="G11" s="97"/>
      <c r="H11" s="97"/>
      <c r="I11" s="41"/>
      <c r="J11" s="41"/>
      <c r="K11" s="41"/>
      <c r="L11" s="41"/>
      <c r="M11" s="41"/>
      <c r="N11" s="41"/>
      <c r="O11" s="41"/>
    </row>
    <row r="12" spans="1:15" ht="15.75" thickBot="1" x14ac:dyDescent="0.3">
      <c r="A12" s="40"/>
      <c r="B12" s="40"/>
      <c r="C12" s="40"/>
      <c r="D12" s="40"/>
      <c r="E12" s="40"/>
      <c r="F12" s="40"/>
      <c r="G12" s="40"/>
      <c r="H12" s="40"/>
    </row>
    <row r="13" spans="1:15" ht="20.25" thickBot="1" x14ac:dyDescent="0.35">
      <c r="A13" s="44" t="s">
        <v>51</v>
      </c>
      <c r="B13" s="97" t="str">
        <f>IFERROR(VLOOKUP(I9,ADMLEARNERS,4,0),"")</f>
        <v>Male</v>
      </c>
      <c r="C13" s="97"/>
      <c r="D13" s="97"/>
      <c r="E13" s="44" t="s">
        <v>61</v>
      </c>
      <c r="F13" s="97">
        <f>IFERROR(VLOOKUP(I9,ADMLEARNERS,9,0),"")</f>
        <v>7725</v>
      </c>
      <c r="G13" s="97"/>
      <c r="H13" s="97"/>
    </row>
    <row r="14" spans="1:15" ht="15.75" thickBot="1" x14ac:dyDescent="0.3">
      <c r="A14" s="40"/>
      <c r="B14" s="40"/>
      <c r="C14" s="40"/>
      <c r="D14" s="40"/>
      <c r="E14" s="40"/>
      <c r="F14" s="40"/>
      <c r="G14" s="40"/>
      <c r="H14" s="40"/>
    </row>
    <row r="15" spans="1:15" ht="20.25" thickBot="1" x14ac:dyDescent="0.35">
      <c r="A15" s="44" t="s">
        <v>7</v>
      </c>
      <c r="B15" s="98">
        <f>IFERROR(VLOOKUP(I9,ADMLEARNERS,5,0),"")</f>
        <v>44480</v>
      </c>
      <c r="C15" s="98"/>
      <c r="D15" s="98"/>
      <c r="E15" s="44" t="s">
        <v>12</v>
      </c>
      <c r="F15" s="97">
        <f>IFERROR(VLOOKUP(I9,ADMLEARNERS,10,0),"")</f>
        <v>794884265</v>
      </c>
      <c r="G15" s="97"/>
      <c r="H15" s="97"/>
    </row>
    <row r="16" spans="1:15" x14ac:dyDescent="0.25">
      <c r="A16" s="40"/>
      <c r="B16" s="40"/>
      <c r="C16" s="40"/>
      <c r="D16" s="40"/>
      <c r="E16" s="40"/>
      <c r="F16" s="40"/>
      <c r="G16" s="40"/>
      <c r="H16" s="40"/>
    </row>
    <row r="20" spans="1:8" ht="16.5" thickBot="1" x14ac:dyDescent="0.3">
      <c r="A20" s="99" t="s">
        <v>62</v>
      </c>
      <c r="B20" s="99"/>
      <c r="C20" s="99"/>
      <c r="E20" s="99" t="s">
        <v>63</v>
      </c>
      <c r="F20" s="99"/>
      <c r="G20" s="99"/>
      <c r="H20" s="99"/>
    </row>
    <row r="21" spans="1:8" x14ac:dyDescent="0.25">
      <c r="A21" s="100"/>
      <c r="B21" s="101"/>
      <c r="C21" s="102"/>
      <c r="E21" s="100"/>
      <c r="F21" s="101"/>
      <c r="G21" s="101"/>
      <c r="H21" s="102"/>
    </row>
    <row r="22" spans="1:8" x14ac:dyDescent="0.25">
      <c r="A22" s="103"/>
      <c r="B22" s="104"/>
      <c r="C22" s="105"/>
      <c r="E22" s="103"/>
      <c r="F22" s="104"/>
      <c r="G22" s="104"/>
      <c r="H22" s="105"/>
    </row>
    <row r="23" spans="1:8" ht="15.75" thickBot="1" x14ac:dyDescent="0.3">
      <c r="A23" s="106"/>
      <c r="B23" s="107"/>
      <c r="C23" s="108"/>
      <c r="E23" s="106"/>
      <c r="F23" s="107"/>
      <c r="G23" s="107"/>
      <c r="H23" s="108"/>
    </row>
  </sheetData>
  <sheetProtection password="CC3D" sheet="1" objects="1" scenarios="1"/>
  <mergeCells count="21">
    <mergeCell ref="A21:C23"/>
    <mergeCell ref="E20:H20"/>
    <mergeCell ref="E21:H23"/>
    <mergeCell ref="F15:H15"/>
    <mergeCell ref="F13:H13"/>
    <mergeCell ref="F11:H11"/>
    <mergeCell ref="F9:H9"/>
    <mergeCell ref="F7:H7"/>
    <mergeCell ref="A20:C20"/>
    <mergeCell ref="B15:D15"/>
    <mergeCell ref="B13:D13"/>
    <mergeCell ref="B9:D9"/>
    <mergeCell ref="B11:D11"/>
    <mergeCell ref="B7:D7"/>
    <mergeCell ref="M9:N10"/>
    <mergeCell ref="I9:L10"/>
    <mergeCell ref="A1:H1"/>
    <mergeCell ref="A2:H2"/>
    <mergeCell ref="A3:H3"/>
    <mergeCell ref="A4:H4"/>
    <mergeCell ref="A6:H6"/>
  </mergeCells>
  <hyperlinks>
    <hyperlink ref="A3" r:id="rId1"/>
  </hyperlinks>
  <pageMargins left="0.7" right="0.7" top="0.75" bottom="0.75" header="0.3" footer="0.3"/>
  <pageSetup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50"/>
  </sheetPr>
  <dimension ref="A1:O26"/>
  <sheetViews>
    <sheetView workbookViewId="0">
      <selection sqref="A1:H1"/>
    </sheetView>
  </sheetViews>
  <sheetFormatPr defaultRowHeight="15" x14ac:dyDescent="0.25"/>
  <cols>
    <col min="1" max="1" width="14.5703125" customWidth="1"/>
    <col min="2" max="2" width="10.140625" customWidth="1"/>
    <col min="3" max="3" width="13.140625" customWidth="1"/>
  </cols>
  <sheetData>
    <row r="1" spans="1:15" ht="22.5" x14ac:dyDescent="0.3">
      <c r="A1" s="93" t="s">
        <v>64</v>
      </c>
      <c r="B1" s="93"/>
      <c r="C1" s="93"/>
      <c r="D1" s="93"/>
      <c r="E1" s="93"/>
      <c r="F1" s="93"/>
      <c r="G1" s="93"/>
      <c r="H1" s="93"/>
    </row>
    <row r="2" spans="1:15" ht="22.5" x14ac:dyDescent="0.3">
      <c r="A2" s="93" t="s">
        <v>65</v>
      </c>
      <c r="B2" s="93"/>
      <c r="C2" s="93"/>
      <c r="D2" s="93"/>
      <c r="E2" s="93"/>
      <c r="F2" s="93"/>
      <c r="G2" s="93"/>
      <c r="H2" s="93"/>
    </row>
    <row r="3" spans="1:15" ht="18.75" x14ac:dyDescent="0.3">
      <c r="A3" s="94" t="s">
        <v>66</v>
      </c>
      <c r="B3" s="94"/>
      <c r="C3" s="94"/>
      <c r="D3" s="94"/>
      <c r="E3" s="94"/>
      <c r="F3" s="94"/>
      <c r="G3" s="94"/>
      <c r="H3" s="94"/>
    </row>
    <row r="4" spans="1:15" ht="18.75" x14ac:dyDescent="0.3">
      <c r="A4" s="95" t="s">
        <v>67</v>
      </c>
      <c r="B4" s="95"/>
      <c r="C4" s="95"/>
      <c r="D4" s="95"/>
      <c r="E4" s="95"/>
      <c r="F4" s="95"/>
      <c r="G4" s="95"/>
      <c r="H4" s="95"/>
    </row>
    <row r="5" spans="1:15" ht="18.75" x14ac:dyDescent="0.3">
      <c r="A5" s="43"/>
      <c r="B5" s="43"/>
      <c r="C5" s="43"/>
      <c r="D5" s="43"/>
      <c r="E5" s="43"/>
      <c r="F5" s="43"/>
      <c r="G5" s="43"/>
      <c r="H5" s="43"/>
    </row>
    <row r="6" spans="1:15" ht="21" thickBot="1" x14ac:dyDescent="0.35">
      <c r="A6" s="96" t="s">
        <v>74</v>
      </c>
      <c r="B6" s="96"/>
      <c r="C6" s="96"/>
      <c r="D6" s="96"/>
      <c r="E6" s="96"/>
      <c r="F6" s="96"/>
      <c r="G6" s="96"/>
      <c r="H6" s="96"/>
    </row>
    <row r="7" spans="1:15" ht="16.5" thickBot="1" x14ac:dyDescent="0.3">
      <c r="A7" s="45" t="s">
        <v>4</v>
      </c>
      <c r="B7" s="110">
        <f>IFERROR(VLOOKUP(I12,FEESS,1,0),"")</f>
        <v>1</v>
      </c>
      <c r="C7" s="110"/>
      <c r="D7" s="111" t="s">
        <v>53</v>
      </c>
      <c r="E7" s="112"/>
      <c r="F7" s="110">
        <f>IFERROR(VLOOKUP(I12,FEESS,7,0),"")</f>
        <v>0</v>
      </c>
      <c r="G7" s="110"/>
      <c r="H7" s="110"/>
    </row>
    <row r="8" spans="1:15" ht="15.75" thickBot="1" x14ac:dyDescent="0.3">
      <c r="A8" s="42"/>
      <c r="B8" s="42"/>
      <c r="C8" s="42"/>
      <c r="D8" s="42"/>
      <c r="E8" s="42"/>
      <c r="F8" s="42"/>
      <c r="G8" s="42"/>
      <c r="H8" s="42"/>
    </row>
    <row r="9" spans="1:15" ht="16.5" thickBot="1" x14ac:dyDescent="0.3">
      <c r="A9" s="45" t="s">
        <v>5</v>
      </c>
      <c r="B9" s="109" t="str">
        <f>IFERROR(VLOOKUP(I12,FEESS,2,0),"")</f>
        <v>Grace</v>
      </c>
      <c r="C9" s="109"/>
      <c r="D9" s="111" t="s">
        <v>54</v>
      </c>
      <c r="E9" s="112"/>
      <c r="F9" s="110">
        <f>IFERROR(VLOOKUP(I12,FEESS,8,0),"")</f>
        <v>5000</v>
      </c>
      <c r="G9" s="110"/>
      <c r="H9" s="110"/>
    </row>
    <row r="10" spans="1:15" ht="15.75" thickBot="1" x14ac:dyDescent="0.3">
      <c r="A10" s="46"/>
      <c r="B10" s="42"/>
      <c r="C10" s="42"/>
      <c r="D10" s="42"/>
      <c r="E10" s="42"/>
      <c r="F10" s="42"/>
      <c r="G10" s="42"/>
      <c r="H10" s="42"/>
    </row>
    <row r="11" spans="1:15" ht="16.5" thickBot="1" x14ac:dyDescent="0.3">
      <c r="A11" s="45" t="s">
        <v>6</v>
      </c>
      <c r="B11" s="110" t="str">
        <f>IFERROR(VLOOKUP(I12,FEESS,3,0),"")</f>
        <v>ABSENT</v>
      </c>
      <c r="C11" s="110"/>
      <c r="D11" s="111" t="s">
        <v>72</v>
      </c>
      <c r="E11" s="112"/>
      <c r="F11" s="110">
        <f>IFERROR(VLOOKUP(I12,FEESS,9,0),"")</f>
        <v>0</v>
      </c>
      <c r="G11" s="110"/>
      <c r="H11" s="110"/>
      <c r="I11" s="41"/>
      <c r="J11" s="41"/>
      <c r="K11" s="41"/>
      <c r="L11" s="41"/>
      <c r="M11" s="41"/>
      <c r="N11" s="41"/>
      <c r="O11" s="41"/>
    </row>
    <row r="12" spans="1:15" ht="15.75" thickBot="1" x14ac:dyDescent="0.3">
      <c r="A12" s="42"/>
      <c r="B12" s="42"/>
      <c r="C12" s="42"/>
      <c r="D12" s="42"/>
      <c r="E12" s="42"/>
      <c r="F12" s="42"/>
      <c r="G12" s="42"/>
      <c r="H12" s="42"/>
      <c r="I12" s="92">
        <v>1</v>
      </c>
      <c r="J12" s="92"/>
      <c r="K12" s="92"/>
      <c r="L12" s="92"/>
      <c r="M12" s="91" t="s">
        <v>69</v>
      </c>
      <c r="N12" s="91"/>
      <c r="O12" s="41"/>
    </row>
    <row r="13" spans="1:15" ht="16.5" thickBot="1" x14ac:dyDescent="0.3">
      <c r="A13" s="45" t="s">
        <v>51</v>
      </c>
      <c r="B13" s="110" t="str">
        <f>IFERROR(VLOOKUP(I12,FEESS,4,0),"")</f>
        <v>Female</v>
      </c>
      <c r="C13" s="110"/>
      <c r="D13" s="111" t="s">
        <v>56</v>
      </c>
      <c r="E13" s="112"/>
      <c r="F13" s="110">
        <f>IFERROR(VLOOKUP(I12,FEESS,10,0),"")</f>
        <v>0</v>
      </c>
      <c r="G13" s="110"/>
      <c r="H13" s="110"/>
      <c r="I13" s="92"/>
      <c r="J13" s="92"/>
      <c r="K13" s="92"/>
      <c r="L13" s="92"/>
      <c r="M13" s="91"/>
      <c r="N13" s="91"/>
      <c r="O13" s="41"/>
    </row>
    <row r="14" spans="1:15" ht="15.75" thickBot="1" x14ac:dyDescent="0.3">
      <c r="A14" s="42"/>
      <c r="B14" s="42"/>
      <c r="C14" s="42"/>
      <c r="D14" s="42"/>
      <c r="E14" s="42"/>
      <c r="F14" s="42"/>
      <c r="G14" s="42"/>
      <c r="H14" s="42"/>
      <c r="I14" s="41"/>
      <c r="J14" s="41"/>
      <c r="K14" s="41"/>
      <c r="L14" s="41"/>
      <c r="M14" s="41"/>
      <c r="N14" s="41"/>
      <c r="O14" s="41"/>
    </row>
    <row r="15" spans="1:15" ht="16.5" thickBot="1" x14ac:dyDescent="0.3">
      <c r="A15" s="45" t="s">
        <v>70</v>
      </c>
      <c r="B15" s="120">
        <f>IFERROR(VLOOKUP(I12,FEESS,5,0),"")</f>
        <v>45691</v>
      </c>
      <c r="C15" s="120"/>
      <c r="D15" s="42"/>
      <c r="E15" s="42"/>
      <c r="F15" s="42"/>
      <c r="G15" s="42"/>
      <c r="H15" s="42"/>
    </row>
    <row r="16" spans="1:15" ht="15.75" thickBot="1" x14ac:dyDescent="0.3">
      <c r="A16" s="42"/>
      <c r="B16" s="42"/>
      <c r="C16" s="42"/>
      <c r="D16" s="42"/>
      <c r="E16" s="42"/>
      <c r="F16" s="42"/>
      <c r="G16" s="42"/>
      <c r="H16" s="42"/>
    </row>
    <row r="17" spans="1:8" ht="16.5" thickBot="1" x14ac:dyDescent="0.3">
      <c r="A17" s="45" t="s">
        <v>71</v>
      </c>
      <c r="B17" s="110" t="b">
        <f>IFERROR(VLOOKUP(I12,FEESS,6,0),"")</f>
        <v>0</v>
      </c>
      <c r="C17" s="110"/>
      <c r="D17" s="42"/>
      <c r="E17" s="42"/>
      <c r="F17" s="42"/>
      <c r="G17" s="42"/>
      <c r="H17" s="42"/>
    </row>
    <row r="18" spans="1:8" ht="15.75" thickBot="1" x14ac:dyDescent="0.3">
      <c r="A18" s="42"/>
      <c r="B18" s="42"/>
      <c r="C18" s="42"/>
      <c r="D18" s="42"/>
      <c r="E18" s="42"/>
      <c r="F18" s="42"/>
      <c r="G18" s="42"/>
      <c r="H18" s="42"/>
    </row>
    <row r="19" spans="1:8" ht="16.5" thickBot="1" x14ac:dyDescent="0.3">
      <c r="A19" s="45" t="s">
        <v>57</v>
      </c>
      <c r="B19" s="111" t="s">
        <v>73</v>
      </c>
      <c r="C19" s="112"/>
      <c r="D19" s="42"/>
      <c r="E19" s="42"/>
      <c r="F19" s="117" t="s">
        <v>58</v>
      </c>
      <c r="G19" s="118"/>
      <c r="H19" s="119"/>
    </row>
    <row r="20" spans="1:8" ht="15.75" thickBot="1" x14ac:dyDescent="0.3">
      <c r="A20" s="47">
        <f>IFERROR(VLOOKUP(I12,FEESS,11,0),"")</f>
        <v>5000</v>
      </c>
      <c r="B20" s="116">
        <f>IFERROR(VLOOKUP(I12,FEESS,12,0),"")</f>
        <v>-5000</v>
      </c>
      <c r="C20" s="115"/>
      <c r="F20" s="113" t="str">
        <f>IFERROR(VLOOKUP(I12,FEESS,13,0),"")</f>
        <v>WITH BAL</v>
      </c>
      <c r="G20" s="114"/>
      <c r="H20" s="115"/>
    </row>
    <row r="23" spans="1:8" ht="16.5" thickBot="1" x14ac:dyDescent="0.3">
      <c r="A23" s="99" t="s">
        <v>62</v>
      </c>
      <c r="B23" s="99"/>
      <c r="C23" s="99"/>
      <c r="E23" s="99" t="s">
        <v>63</v>
      </c>
      <c r="F23" s="99"/>
      <c r="G23" s="99"/>
      <c r="H23" s="99"/>
    </row>
    <row r="24" spans="1:8" x14ac:dyDescent="0.25">
      <c r="A24" s="100"/>
      <c r="B24" s="101"/>
      <c r="C24" s="102"/>
      <c r="E24" s="100"/>
      <c r="F24" s="101"/>
      <c r="G24" s="101"/>
      <c r="H24" s="102"/>
    </row>
    <row r="25" spans="1:8" x14ac:dyDescent="0.25">
      <c r="A25" s="103"/>
      <c r="B25" s="104"/>
      <c r="C25" s="105"/>
      <c r="E25" s="103"/>
      <c r="F25" s="104"/>
      <c r="G25" s="104"/>
      <c r="H25" s="105"/>
    </row>
    <row r="26" spans="1:8" ht="15.75" thickBot="1" x14ac:dyDescent="0.3">
      <c r="A26" s="106"/>
      <c r="B26" s="107"/>
      <c r="C26" s="108"/>
      <c r="E26" s="106"/>
      <c r="F26" s="107"/>
      <c r="G26" s="107"/>
      <c r="H26" s="108"/>
    </row>
  </sheetData>
  <sheetProtection password="CC3D" sheet="1" objects="1" scenarios="1"/>
  <mergeCells count="29">
    <mergeCell ref="A23:C23"/>
    <mergeCell ref="E23:H23"/>
    <mergeCell ref="A24:C26"/>
    <mergeCell ref="E24:H26"/>
    <mergeCell ref="F11:H11"/>
    <mergeCell ref="F20:H20"/>
    <mergeCell ref="B20:C20"/>
    <mergeCell ref="B19:C19"/>
    <mergeCell ref="F19:H19"/>
    <mergeCell ref="B17:C17"/>
    <mergeCell ref="B15:C15"/>
    <mergeCell ref="B13:C13"/>
    <mergeCell ref="B11:C11"/>
    <mergeCell ref="B9:C9"/>
    <mergeCell ref="I12:L13"/>
    <mergeCell ref="M12:N13"/>
    <mergeCell ref="A1:H1"/>
    <mergeCell ref="A2:H2"/>
    <mergeCell ref="A3:H3"/>
    <mergeCell ref="A4:H4"/>
    <mergeCell ref="A6:H6"/>
    <mergeCell ref="F9:H9"/>
    <mergeCell ref="F7:H7"/>
    <mergeCell ref="B7:C7"/>
    <mergeCell ref="D13:E13"/>
    <mergeCell ref="D11:E11"/>
    <mergeCell ref="D9:E9"/>
    <mergeCell ref="D7:E7"/>
    <mergeCell ref="F13:H13"/>
  </mergeCells>
  <conditionalFormatting sqref="F20:H20">
    <cfRule type="cellIs" dxfId="1" priority="1" operator="equal">
      <formula>"CLEARED"</formula>
    </cfRule>
    <cfRule type="cellIs" dxfId="0" priority="2" operator="equal">
      <formula>"WITH BAL"</formula>
    </cfRule>
  </conditionalFormatting>
  <hyperlinks>
    <hyperlink ref="A3" r:id="rId1"/>
  </hyperlinks>
  <pageMargins left="0.7" right="0.7" top="0.75" bottom="0.75" header="0.3" footer="0.3"/>
  <pageSetup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2" tint="-0.499984740745262"/>
  </sheetPr>
  <dimension ref="A1:I30"/>
  <sheetViews>
    <sheetView view="pageLayout" topLeftCell="A5" zoomScale="90" zoomScaleNormal="100" zoomScalePageLayoutView="90" workbookViewId="0">
      <selection activeCell="B7" sqref="B7:I7"/>
    </sheetView>
  </sheetViews>
  <sheetFormatPr defaultRowHeight="15" x14ac:dyDescent="0.25"/>
  <cols>
    <col min="1" max="1" width="11.140625" customWidth="1"/>
    <col min="2" max="2" width="14.28515625" customWidth="1"/>
    <col min="3" max="4" width="11" customWidth="1"/>
    <col min="5" max="5" width="11.5703125" customWidth="1"/>
    <col min="6" max="6" width="20.85546875" customWidth="1"/>
  </cols>
  <sheetData>
    <row r="1" spans="1:9" ht="20.25" x14ac:dyDescent="0.3">
      <c r="A1" s="121" t="s">
        <v>80</v>
      </c>
      <c r="B1" s="121"/>
      <c r="C1" s="121"/>
      <c r="D1" s="121"/>
      <c r="E1" s="121"/>
      <c r="F1" s="121"/>
      <c r="G1" s="121"/>
      <c r="H1" s="121"/>
      <c r="I1" s="121"/>
    </row>
    <row r="2" spans="1:9" x14ac:dyDescent="0.25">
      <c r="A2" s="23"/>
      <c r="B2" s="23"/>
      <c r="C2" s="23"/>
      <c r="D2" s="23"/>
      <c r="E2" s="23"/>
      <c r="F2" s="23"/>
      <c r="G2" s="23"/>
      <c r="H2" s="23"/>
      <c r="I2" s="23"/>
    </row>
    <row r="3" spans="1:9" x14ac:dyDescent="0.25">
      <c r="A3" s="23"/>
      <c r="B3" s="23"/>
      <c r="C3" s="23"/>
      <c r="D3" s="23"/>
      <c r="E3" s="23"/>
      <c r="F3" s="23"/>
      <c r="G3" s="23"/>
      <c r="H3" s="23"/>
      <c r="I3" s="23"/>
    </row>
    <row r="4" spans="1:9" x14ac:dyDescent="0.25">
      <c r="A4" s="23"/>
      <c r="B4" s="23"/>
      <c r="C4" s="23"/>
      <c r="D4" s="23"/>
      <c r="E4" s="23"/>
      <c r="F4" s="23"/>
      <c r="G4" s="23"/>
      <c r="H4" s="23"/>
      <c r="I4" s="23"/>
    </row>
    <row r="5" spans="1:9" ht="15.75" x14ac:dyDescent="0.25">
      <c r="A5" s="48" t="s">
        <v>75</v>
      </c>
      <c r="B5" s="126"/>
      <c r="C5" s="127"/>
      <c r="D5" s="127"/>
      <c r="E5" s="127"/>
      <c r="F5" s="127"/>
      <c r="G5" s="127"/>
      <c r="H5" s="127"/>
      <c r="I5" s="128"/>
    </row>
    <row r="6" spans="1:9" ht="15.75" x14ac:dyDescent="0.25">
      <c r="A6" s="48" t="s">
        <v>76</v>
      </c>
      <c r="B6" s="126"/>
      <c r="C6" s="127"/>
      <c r="D6" s="127"/>
      <c r="E6" s="127"/>
      <c r="F6" s="127"/>
      <c r="G6" s="127"/>
      <c r="H6" s="127"/>
      <c r="I6" s="128"/>
    </row>
    <row r="7" spans="1:9" ht="15.75" x14ac:dyDescent="0.25">
      <c r="A7" s="48" t="s">
        <v>77</v>
      </c>
      <c r="B7" s="126"/>
      <c r="C7" s="127"/>
      <c r="D7" s="127"/>
      <c r="E7" s="127"/>
      <c r="F7" s="127"/>
      <c r="G7" s="127"/>
      <c r="H7" s="127"/>
      <c r="I7" s="128"/>
    </row>
    <row r="8" spans="1:9" ht="15.75" x14ac:dyDescent="0.25">
      <c r="A8" s="23"/>
      <c r="B8" s="23"/>
      <c r="C8" s="129" t="s">
        <v>79</v>
      </c>
      <c r="D8" s="129"/>
      <c r="E8" s="129"/>
      <c r="F8" s="23"/>
      <c r="G8" s="23"/>
      <c r="H8" s="23"/>
      <c r="I8" s="23"/>
    </row>
    <row r="9" spans="1:9" ht="15.75" x14ac:dyDescent="0.25">
      <c r="A9" s="49" t="s">
        <v>49</v>
      </c>
      <c r="B9" s="49" t="s">
        <v>6</v>
      </c>
      <c r="C9" s="49" t="s">
        <v>31</v>
      </c>
      <c r="D9" s="49" t="s">
        <v>32</v>
      </c>
      <c r="E9" s="49" t="s">
        <v>33</v>
      </c>
      <c r="F9" s="49" t="s">
        <v>78</v>
      </c>
      <c r="G9" s="23"/>
      <c r="H9" s="23"/>
      <c r="I9" s="23"/>
    </row>
    <row r="10" spans="1:9" ht="15.75" x14ac:dyDescent="0.25">
      <c r="A10" s="49">
        <v>1</v>
      </c>
      <c r="B10" s="50" t="s">
        <v>34</v>
      </c>
      <c r="C10" s="23"/>
      <c r="D10" s="23"/>
      <c r="E10" s="23"/>
      <c r="F10" s="23"/>
      <c r="G10" s="23"/>
      <c r="H10" s="23"/>
      <c r="I10" s="23"/>
    </row>
    <row r="11" spans="1:9" ht="15.75" x14ac:dyDescent="0.25">
      <c r="A11" s="49">
        <v>2</v>
      </c>
      <c r="B11" s="50" t="s">
        <v>35</v>
      </c>
      <c r="C11" s="23"/>
      <c r="D11" s="23"/>
      <c r="E11" s="23"/>
      <c r="F11" s="23"/>
      <c r="G11" s="23"/>
      <c r="H11" s="23"/>
      <c r="I11" s="23"/>
    </row>
    <row r="12" spans="1:9" ht="15.75" x14ac:dyDescent="0.25">
      <c r="A12" s="49">
        <v>3</v>
      </c>
      <c r="B12" s="50" t="s">
        <v>36</v>
      </c>
      <c r="C12" s="23"/>
      <c r="D12" s="23"/>
      <c r="E12" s="23"/>
      <c r="F12" s="23"/>
      <c r="G12" s="23"/>
      <c r="H12" s="23"/>
      <c r="I12" s="23"/>
    </row>
    <row r="13" spans="1:9" ht="15.75" x14ac:dyDescent="0.25">
      <c r="A13" s="49">
        <v>4</v>
      </c>
      <c r="B13" s="50" t="s">
        <v>37</v>
      </c>
      <c r="C13" s="23"/>
      <c r="D13" s="23"/>
      <c r="E13" s="23"/>
      <c r="F13" s="23"/>
      <c r="G13" s="23"/>
      <c r="H13" s="23"/>
      <c r="I13" s="23"/>
    </row>
    <row r="14" spans="1:9" ht="15.75" x14ac:dyDescent="0.25">
      <c r="A14" s="49">
        <v>5</v>
      </c>
      <c r="B14" s="50" t="s">
        <v>38</v>
      </c>
      <c r="C14" s="23"/>
      <c r="D14" s="23"/>
      <c r="E14" s="23"/>
      <c r="F14" s="23"/>
      <c r="G14" s="23"/>
      <c r="H14" s="23"/>
      <c r="I14" s="23"/>
    </row>
    <row r="15" spans="1:9" ht="15.75" x14ac:dyDescent="0.25">
      <c r="A15" s="49">
        <v>6</v>
      </c>
      <c r="B15" s="50" t="s">
        <v>39</v>
      </c>
      <c r="C15" s="23"/>
      <c r="D15" s="23"/>
      <c r="E15" s="23"/>
      <c r="F15" s="23"/>
      <c r="G15" s="23"/>
      <c r="H15" s="23"/>
      <c r="I15" s="23"/>
    </row>
    <row r="16" spans="1:9" ht="15.75" x14ac:dyDescent="0.25">
      <c r="A16" s="49">
        <v>7</v>
      </c>
      <c r="B16" s="50" t="s">
        <v>40</v>
      </c>
      <c r="C16" s="23"/>
      <c r="D16" s="23"/>
      <c r="E16" s="23"/>
      <c r="F16" s="23"/>
      <c r="G16" s="23"/>
      <c r="H16" s="23"/>
      <c r="I16" s="23"/>
    </row>
    <row r="17" spans="1:9" ht="15.75" x14ac:dyDescent="0.25">
      <c r="A17" s="49">
        <v>8</v>
      </c>
      <c r="B17" s="50" t="s">
        <v>41</v>
      </c>
      <c r="C17" s="23"/>
      <c r="D17" s="23"/>
      <c r="E17" s="23"/>
      <c r="F17" s="23"/>
      <c r="G17" s="23"/>
      <c r="H17" s="23"/>
      <c r="I17" s="23"/>
    </row>
    <row r="18" spans="1:9" ht="15.75" x14ac:dyDescent="0.25">
      <c r="A18" s="49">
        <v>9</v>
      </c>
      <c r="B18" s="50" t="s">
        <v>42</v>
      </c>
      <c r="C18" s="23"/>
      <c r="D18" s="23"/>
      <c r="E18" s="23"/>
      <c r="F18" s="23"/>
      <c r="G18" s="23"/>
      <c r="H18" s="23"/>
      <c r="I18" s="23"/>
    </row>
    <row r="19" spans="1:9" ht="15.75" x14ac:dyDescent="0.25">
      <c r="A19" s="49">
        <v>10</v>
      </c>
      <c r="B19" s="50" t="s">
        <v>43</v>
      </c>
      <c r="C19" s="23"/>
      <c r="D19" s="23"/>
      <c r="E19" s="23"/>
      <c r="F19" s="23"/>
      <c r="G19" s="23"/>
      <c r="H19" s="23"/>
      <c r="I19" s="23"/>
    </row>
    <row r="20" spans="1:9" ht="15.75" x14ac:dyDescent="0.25">
      <c r="A20" s="49">
        <v>11</v>
      </c>
      <c r="B20" s="50" t="s">
        <v>44</v>
      </c>
      <c r="C20" s="23"/>
      <c r="D20" s="23"/>
      <c r="E20" s="23"/>
      <c r="F20" s="23"/>
      <c r="G20" s="23"/>
      <c r="H20" s="23"/>
      <c r="I20" s="23"/>
    </row>
    <row r="21" spans="1:9" ht="15.75" x14ac:dyDescent="0.25">
      <c r="A21" s="49">
        <v>12</v>
      </c>
      <c r="B21" s="50" t="s">
        <v>45</v>
      </c>
      <c r="C21" s="23"/>
      <c r="D21" s="23"/>
      <c r="E21" s="23"/>
      <c r="F21" s="23"/>
      <c r="G21" s="23"/>
      <c r="H21" s="23"/>
      <c r="I21" s="23"/>
    </row>
    <row r="24" spans="1:9" ht="16.5" thickBot="1" x14ac:dyDescent="0.3">
      <c r="A24" s="99" t="s">
        <v>81</v>
      </c>
      <c r="B24" s="99"/>
    </row>
    <row r="25" spans="1:9" x14ac:dyDescent="0.25">
      <c r="A25" s="122"/>
      <c r="B25" s="123"/>
    </row>
    <row r="26" spans="1:9" ht="15.75" thickBot="1" x14ac:dyDescent="0.3">
      <c r="A26" s="124"/>
      <c r="B26" s="125"/>
    </row>
    <row r="28" spans="1:9" ht="16.5" thickBot="1" x14ac:dyDescent="0.3">
      <c r="A28" s="99" t="s">
        <v>82</v>
      </c>
      <c r="B28" s="99"/>
    </row>
    <row r="29" spans="1:9" x14ac:dyDescent="0.25">
      <c r="A29" s="122"/>
      <c r="B29" s="123"/>
    </row>
    <row r="30" spans="1:9" ht="15.75" thickBot="1" x14ac:dyDescent="0.3">
      <c r="A30" s="124"/>
      <c r="B30" s="125"/>
    </row>
  </sheetData>
  <sheetProtection password="CC3D" sheet="1" objects="1" scenarios="1"/>
  <mergeCells count="9">
    <mergeCell ref="A1:I1"/>
    <mergeCell ref="A24:B24"/>
    <mergeCell ref="A25:B26"/>
    <mergeCell ref="A28:B28"/>
    <mergeCell ref="A29:B30"/>
    <mergeCell ref="B5:I5"/>
    <mergeCell ref="B6:I6"/>
    <mergeCell ref="B7:I7"/>
    <mergeCell ref="C8:E8"/>
  </mergeCells>
  <pageMargins left="0.7" right="0.7" top="0.75" bottom="0.7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-0.249977111117893"/>
  </sheetPr>
  <dimension ref="A1:I45"/>
  <sheetViews>
    <sheetView view="pageLayout" zoomScaleNormal="100" workbookViewId="0">
      <selection activeCell="D13" sqref="D13"/>
    </sheetView>
  </sheetViews>
  <sheetFormatPr defaultRowHeight="15" x14ac:dyDescent="0.25"/>
  <cols>
    <col min="1" max="1" width="11.140625" customWidth="1"/>
    <col min="2" max="2" width="14.28515625" customWidth="1"/>
    <col min="3" max="4" width="11" customWidth="1"/>
    <col min="5" max="5" width="11.5703125" customWidth="1"/>
    <col min="6" max="6" width="20.85546875" customWidth="1"/>
    <col min="8" max="8" width="13.140625" customWidth="1"/>
  </cols>
  <sheetData>
    <row r="1" spans="1:9" ht="20.25" x14ac:dyDescent="0.25">
      <c r="A1" s="130" t="s">
        <v>83</v>
      </c>
      <c r="B1" s="130"/>
      <c r="C1" s="130"/>
      <c r="D1" s="130"/>
      <c r="E1" s="130"/>
      <c r="F1" s="130"/>
      <c r="G1" s="130"/>
      <c r="H1" s="130"/>
      <c r="I1" s="130"/>
    </row>
    <row r="2" spans="1:9" x14ac:dyDescent="0.25">
      <c r="A2" s="51"/>
      <c r="B2" s="51"/>
      <c r="C2" s="51"/>
      <c r="D2" s="51"/>
      <c r="E2" s="51"/>
      <c r="F2" s="51"/>
      <c r="G2" s="51"/>
      <c r="H2" s="51"/>
      <c r="I2" s="51"/>
    </row>
    <row r="3" spans="1:9" x14ac:dyDescent="0.25">
      <c r="A3" s="51"/>
      <c r="B3" s="51"/>
      <c r="C3" s="51"/>
      <c r="D3" s="51"/>
      <c r="E3" s="51"/>
      <c r="F3" s="51"/>
      <c r="G3" s="51"/>
      <c r="H3" s="51"/>
      <c r="I3" s="51"/>
    </row>
    <row r="4" spans="1:9" x14ac:dyDescent="0.25">
      <c r="A4" s="51"/>
      <c r="B4" s="51"/>
      <c r="C4" s="51"/>
      <c r="D4" s="51"/>
      <c r="E4" s="51"/>
      <c r="F4" s="51"/>
      <c r="G4" s="51"/>
      <c r="H4" s="51"/>
      <c r="I4" s="51"/>
    </row>
    <row r="5" spans="1:9" ht="15.75" x14ac:dyDescent="0.25">
      <c r="A5" s="52" t="s">
        <v>75</v>
      </c>
      <c r="B5" s="131"/>
      <c r="C5" s="131"/>
      <c r="D5" s="131"/>
      <c r="E5" s="131"/>
      <c r="F5" s="131"/>
      <c r="G5" s="131"/>
      <c r="H5" s="131"/>
      <c r="I5" s="131"/>
    </row>
    <row r="6" spans="1:9" ht="15.75" x14ac:dyDescent="0.25">
      <c r="A6" s="52" t="s">
        <v>76</v>
      </c>
      <c r="B6" s="131"/>
      <c r="C6" s="131"/>
      <c r="D6" s="131"/>
      <c r="E6" s="131"/>
      <c r="F6" s="131"/>
      <c r="G6" s="131"/>
      <c r="H6" s="131"/>
      <c r="I6" s="131"/>
    </row>
    <row r="7" spans="1:9" ht="15.75" x14ac:dyDescent="0.25">
      <c r="A7" s="52" t="s">
        <v>77</v>
      </c>
      <c r="B7" s="131"/>
      <c r="C7" s="131"/>
      <c r="D7" s="131"/>
      <c r="E7" s="131"/>
      <c r="F7" s="131"/>
      <c r="G7" s="131"/>
      <c r="H7" s="131"/>
      <c r="I7" s="131"/>
    </row>
    <row r="8" spans="1:9" ht="15.75" x14ac:dyDescent="0.25">
      <c r="A8" s="51"/>
      <c r="B8" s="51"/>
      <c r="C8" s="56"/>
      <c r="D8" s="56"/>
      <c r="E8" s="56"/>
      <c r="F8" s="51"/>
      <c r="G8" s="51"/>
      <c r="H8" s="51"/>
      <c r="I8" s="51"/>
    </row>
    <row r="9" spans="1:9" ht="15.75" x14ac:dyDescent="0.25">
      <c r="A9" s="53" t="s">
        <v>13</v>
      </c>
      <c r="B9" s="53" t="s">
        <v>5</v>
      </c>
      <c r="C9" s="53" t="s">
        <v>14</v>
      </c>
      <c r="D9" s="53" t="s">
        <v>84</v>
      </c>
      <c r="E9" s="53" t="s">
        <v>85</v>
      </c>
      <c r="F9" s="53" t="s">
        <v>86</v>
      </c>
      <c r="G9" s="54" t="s">
        <v>19</v>
      </c>
      <c r="H9" s="54" t="s">
        <v>50</v>
      </c>
      <c r="I9" s="51"/>
    </row>
    <row r="10" spans="1:9" ht="15.75" x14ac:dyDescent="0.25">
      <c r="A10" s="53">
        <v>1</v>
      </c>
      <c r="B10" s="55" t="s">
        <v>34</v>
      </c>
      <c r="C10" s="51"/>
      <c r="D10" s="51"/>
      <c r="E10" s="51"/>
      <c r="F10" s="51"/>
      <c r="G10" s="51"/>
      <c r="H10" s="51"/>
      <c r="I10" s="51"/>
    </row>
    <row r="11" spans="1:9" ht="15.75" x14ac:dyDescent="0.25">
      <c r="A11" s="53">
        <v>2</v>
      </c>
      <c r="B11" s="55" t="s">
        <v>35</v>
      </c>
      <c r="C11" s="51"/>
      <c r="D11" s="51"/>
      <c r="E11" s="51"/>
      <c r="F11" s="51"/>
      <c r="G11" s="51"/>
      <c r="H11" s="51"/>
      <c r="I11" s="51"/>
    </row>
    <row r="12" spans="1:9" ht="15.75" x14ac:dyDescent="0.25">
      <c r="A12" s="53">
        <v>3</v>
      </c>
      <c r="B12" s="55" t="s">
        <v>36</v>
      </c>
      <c r="C12" s="51"/>
      <c r="D12" s="51"/>
      <c r="E12" s="51"/>
      <c r="F12" s="51"/>
      <c r="G12" s="51"/>
      <c r="H12" s="51"/>
      <c r="I12" s="51"/>
    </row>
    <row r="13" spans="1:9" ht="15.75" x14ac:dyDescent="0.25">
      <c r="A13" s="53">
        <v>4</v>
      </c>
      <c r="B13" s="55" t="s">
        <v>37</v>
      </c>
      <c r="C13" s="51"/>
      <c r="D13" s="51"/>
      <c r="E13" s="51"/>
      <c r="F13" s="51"/>
      <c r="G13" s="51"/>
      <c r="H13" s="51"/>
      <c r="I13" s="51"/>
    </row>
    <row r="14" spans="1:9" ht="15.75" x14ac:dyDescent="0.25">
      <c r="A14" s="53">
        <v>5</v>
      </c>
      <c r="B14" s="55" t="s">
        <v>38</v>
      </c>
      <c r="C14" s="51"/>
      <c r="D14" s="51"/>
      <c r="E14" s="51"/>
      <c r="F14" s="51"/>
      <c r="G14" s="51"/>
      <c r="H14" s="51"/>
      <c r="I14" s="51"/>
    </row>
    <row r="15" spans="1:9" ht="15.75" x14ac:dyDescent="0.25">
      <c r="A15" s="53">
        <v>6</v>
      </c>
      <c r="B15" s="55" t="s">
        <v>39</v>
      </c>
      <c r="C15" s="51"/>
      <c r="D15" s="51"/>
      <c r="E15" s="51"/>
      <c r="F15" s="51"/>
      <c r="G15" s="51"/>
      <c r="H15" s="51"/>
      <c r="I15" s="51"/>
    </row>
    <row r="16" spans="1:9" ht="15.75" x14ac:dyDescent="0.25">
      <c r="A16" s="53">
        <v>7</v>
      </c>
      <c r="B16" s="55" t="s">
        <v>40</v>
      </c>
      <c r="C16" s="51"/>
      <c r="D16" s="51"/>
      <c r="E16" s="51"/>
      <c r="F16" s="51"/>
      <c r="G16" s="51"/>
      <c r="H16" s="51"/>
      <c r="I16" s="51"/>
    </row>
    <row r="17" spans="1:9" ht="15.75" x14ac:dyDescent="0.25">
      <c r="A17" s="53">
        <v>8</v>
      </c>
      <c r="B17" s="55" t="s">
        <v>41</v>
      </c>
      <c r="C17" s="51"/>
      <c r="D17" s="51"/>
      <c r="E17" s="51"/>
      <c r="F17" s="51"/>
      <c r="G17" s="51"/>
      <c r="H17" s="51"/>
      <c r="I17" s="51"/>
    </row>
    <row r="18" spans="1:9" ht="15.75" x14ac:dyDescent="0.25">
      <c r="A18" s="53">
        <v>9</v>
      </c>
      <c r="B18" s="55" t="s">
        <v>42</v>
      </c>
      <c r="C18" s="51"/>
      <c r="D18" s="51"/>
      <c r="E18" s="51"/>
      <c r="F18" s="51"/>
      <c r="G18" s="51"/>
      <c r="H18" s="51"/>
      <c r="I18" s="51"/>
    </row>
    <row r="19" spans="1:9" ht="15.75" x14ac:dyDescent="0.25">
      <c r="A19" s="53">
        <v>10</v>
      </c>
      <c r="B19" s="55" t="s">
        <v>43</v>
      </c>
      <c r="C19" s="51"/>
      <c r="D19" s="51"/>
      <c r="E19" s="51"/>
      <c r="F19" s="51"/>
      <c r="G19" s="51"/>
      <c r="H19" s="51"/>
      <c r="I19" s="51"/>
    </row>
    <row r="20" spans="1:9" ht="15.75" x14ac:dyDescent="0.25">
      <c r="A20" s="53">
        <v>11</v>
      </c>
      <c r="B20" s="55" t="s">
        <v>44</v>
      </c>
      <c r="C20" s="51"/>
      <c r="D20" s="51"/>
      <c r="E20" s="51"/>
      <c r="F20" s="51"/>
      <c r="G20" s="51"/>
      <c r="H20" s="51"/>
      <c r="I20" s="51"/>
    </row>
    <row r="21" spans="1:9" ht="15.75" x14ac:dyDescent="0.25">
      <c r="A21" s="53">
        <v>12</v>
      </c>
      <c r="B21" s="55" t="s">
        <v>45</v>
      </c>
      <c r="C21" s="51"/>
      <c r="D21" s="51"/>
      <c r="E21" s="51"/>
      <c r="F21" s="51"/>
      <c r="G21" s="51"/>
      <c r="H21" s="51"/>
      <c r="I21" s="51"/>
    </row>
    <row r="22" spans="1:9" x14ac:dyDescent="0.25">
      <c r="A22" s="51"/>
      <c r="B22" s="51"/>
      <c r="C22" s="51"/>
      <c r="D22" s="51"/>
      <c r="E22" s="51"/>
      <c r="F22" s="51"/>
      <c r="G22" s="51"/>
      <c r="H22" s="51"/>
      <c r="I22" s="51"/>
    </row>
    <row r="23" spans="1:9" x14ac:dyDescent="0.25">
      <c r="A23" s="51"/>
      <c r="B23" s="51"/>
      <c r="C23" s="51"/>
      <c r="D23" s="51"/>
      <c r="E23" s="51"/>
      <c r="F23" s="51"/>
      <c r="G23" s="51"/>
      <c r="H23" s="51"/>
      <c r="I23" s="51"/>
    </row>
    <row r="24" spans="1:9" ht="15.75" x14ac:dyDescent="0.25">
      <c r="A24" s="131" t="s">
        <v>81</v>
      </c>
      <c r="B24" s="131"/>
      <c r="C24" s="51"/>
      <c r="D24" s="51"/>
      <c r="E24" s="51"/>
      <c r="F24" s="51"/>
      <c r="G24" s="51"/>
      <c r="H24" s="51"/>
      <c r="I24" s="51"/>
    </row>
    <row r="25" spans="1:9" x14ac:dyDescent="0.25">
      <c r="A25" s="131"/>
      <c r="B25" s="131"/>
      <c r="C25" s="51"/>
      <c r="D25" s="51"/>
      <c r="E25" s="51"/>
      <c r="F25" s="51"/>
      <c r="G25" s="51"/>
      <c r="H25" s="51"/>
      <c r="I25" s="51"/>
    </row>
    <row r="26" spans="1:9" x14ac:dyDescent="0.25">
      <c r="A26" s="131"/>
      <c r="B26" s="131"/>
      <c r="C26" s="51"/>
      <c r="D26" s="51"/>
      <c r="E26" s="51"/>
      <c r="F26" s="51"/>
      <c r="G26" s="51"/>
      <c r="H26" s="51"/>
      <c r="I26" s="51"/>
    </row>
    <row r="27" spans="1:9" x14ac:dyDescent="0.25">
      <c r="A27" s="51"/>
      <c r="B27" s="51"/>
      <c r="C27" s="51"/>
      <c r="D27" s="51"/>
      <c r="E27" s="51"/>
      <c r="F27" s="51"/>
      <c r="G27" s="51"/>
      <c r="H27" s="51"/>
      <c r="I27" s="51"/>
    </row>
    <row r="28" spans="1:9" ht="15.75" x14ac:dyDescent="0.25">
      <c r="A28" s="131" t="s">
        <v>82</v>
      </c>
      <c r="B28" s="131"/>
      <c r="C28" s="51"/>
      <c r="D28" s="51"/>
      <c r="E28" s="51"/>
      <c r="F28" s="51"/>
      <c r="G28" s="51"/>
      <c r="H28" s="51"/>
      <c r="I28" s="51"/>
    </row>
    <row r="29" spans="1:9" x14ac:dyDescent="0.25">
      <c r="A29" s="131"/>
      <c r="B29" s="131"/>
      <c r="C29" s="51"/>
      <c r="D29" s="51"/>
      <c r="E29" s="51"/>
      <c r="F29" s="51"/>
      <c r="G29" s="51"/>
      <c r="H29" s="51"/>
      <c r="I29" s="51"/>
    </row>
    <row r="30" spans="1:9" x14ac:dyDescent="0.25">
      <c r="A30" s="131"/>
      <c r="B30" s="131"/>
      <c r="C30" s="51"/>
      <c r="D30" s="51"/>
      <c r="E30" s="51"/>
      <c r="F30" s="51"/>
      <c r="G30" s="51"/>
      <c r="H30" s="51"/>
      <c r="I30" s="51"/>
    </row>
    <row r="31" spans="1:9" x14ac:dyDescent="0.25">
      <c r="A31" s="51"/>
      <c r="B31" s="51"/>
      <c r="C31" s="51"/>
      <c r="D31" s="51"/>
      <c r="E31" s="51"/>
      <c r="F31" s="51"/>
      <c r="G31" s="51"/>
      <c r="H31" s="51"/>
      <c r="I31" s="51"/>
    </row>
    <row r="32" spans="1:9" x14ac:dyDescent="0.25">
      <c r="A32" s="51"/>
      <c r="B32" s="51"/>
      <c r="C32" s="51"/>
      <c r="D32" s="51"/>
      <c r="E32" s="51"/>
      <c r="F32" s="51"/>
      <c r="G32" s="51"/>
      <c r="H32" s="51"/>
      <c r="I32" s="51"/>
    </row>
    <row r="33" spans="1:9" x14ac:dyDescent="0.25">
      <c r="A33" s="51"/>
      <c r="B33" s="51"/>
      <c r="C33" s="51"/>
      <c r="D33" s="51"/>
      <c r="E33" s="51"/>
      <c r="F33" s="51"/>
      <c r="G33" s="51"/>
      <c r="H33" s="51"/>
      <c r="I33" s="51"/>
    </row>
    <row r="34" spans="1:9" x14ac:dyDescent="0.25">
      <c r="A34" s="51"/>
      <c r="B34" s="51"/>
      <c r="C34" s="51"/>
      <c r="D34" s="51"/>
      <c r="E34" s="51"/>
      <c r="F34" s="51"/>
      <c r="G34" s="51"/>
      <c r="H34" s="51"/>
      <c r="I34" s="51"/>
    </row>
    <row r="35" spans="1:9" x14ac:dyDescent="0.25">
      <c r="A35" s="51"/>
      <c r="B35" s="51"/>
      <c r="C35" s="51"/>
      <c r="D35" s="51"/>
      <c r="E35" s="51"/>
      <c r="F35" s="51"/>
      <c r="G35" s="51"/>
      <c r="H35" s="51"/>
      <c r="I35" s="51"/>
    </row>
    <row r="36" spans="1:9" x14ac:dyDescent="0.25">
      <c r="A36" s="51"/>
      <c r="B36" s="51"/>
      <c r="C36" s="51"/>
      <c r="D36" s="51"/>
      <c r="E36" s="51"/>
      <c r="F36" s="51"/>
      <c r="G36" s="51"/>
      <c r="H36" s="51"/>
      <c r="I36" s="51"/>
    </row>
    <row r="37" spans="1:9" x14ac:dyDescent="0.25">
      <c r="A37" s="51"/>
      <c r="B37" s="51"/>
      <c r="C37" s="51"/>
      <c r="D37" s="51"/>
      <c r="E37" s="51"/>
      <c r="F37" s="51"/>
      <c r="G37" s="51"/>
      <c r="H37" s="51"/>
      <c r="I37" s="51"/>
    </row>
    <row r="38" spans="1:9" x14ac:dyDescent="0.25">
      <c r="A38" s="51"/>
      <c r="B38" s="51"/>
      <c r="C38" s="51"/>
      <c r="D38" s="51"/>
      <c r="E38" s="51"/>
      <c r="F38" s="51"/>
      <c r="G38" s="51"/>
      <c r="H38" s="51"/>
      <c r="I38" s="51"/>
    </row>
    <row r="39" spans="1:9" x14ac:dyDescent="0.25">
      <c r="A39" s="51"/>
      <c r="B39" s="51"/>
      <c r="C39" s="51"/>
      <c r="D39" s="51"/>
      <c r="E39" s="51"/>
      <c r="F39" s="51"/>
      <c r="G39" s="51"/>
      <c r="H39" s="51"/>
      <c r="I39" s="51"/>
    </row>
    <row r="40" spans="1:9" x14ac:dyDescent="0.25">
      <c r="A40" s="51"/>
      <c r="B40" s="51"/>
      <c r="C40" s="51"/>
      <c r="D40" s="51"/>
      <c r="E40" s="51"/>
      <c r="F40" s="51"/>
      <c r="G40" s="51"/>
      <c r="H40" s="51"/>
      <c r="I40" s="51"/>
    </row>
    <row r="41" spans="1:9" x14ac:dyDescent="0.25">
      <c r="A41" s="51"/>
      <c r="B41" s="51"/>
      <c r="C41" s="51"/>
      <c r="D41" s="51"/>
      <c r="E41" s="51"/>
      <c r="F41" s="51"/>
      <c r="G41" s="51"/>
      <c r="H41" s="51"/>
      <c r="I41" s="51"/>
    </row>
    <row r="42" spans="1:9" x14ac:dyDescent="0.25">
      <c r="A42" s="51"/>
      <c r="B42" s="51"/>
      <c r="C42" s="51"/>
      <c r="D42" s="51"/>
      <c r="E42" s="51"/>
      <c r="F42" s="51"/>
      <c r="G42" s="51"/>
      <c r="H42" s="51"/>
      <c r="I42" s="51"/>
    </row>
    <row r="43" spans="1:9" x14ac:dyDescent="0.25">
      <c r="A43" s="51"/>
      <c r="B43" s="51"/>
      <c r="C43" s="51"/>
      <c r="D43" s="51"/>
      <c r="E43" s="51"/>
      <c r="F43" s="51"/>
      <c r="G43" s="51"/>
      <c r="H43" s="51"/>
      <c r="I43" s="51"/>
    </row>
    <row r="44" spans="1:9" x14ac:dyDescent="0.25">
      <c r="A44" s="51"/>
      <c r="B44" s="51"/>
      <c r="C44" s="51"/>
      <c r="D44" s="51"/>
      <c r="E44" s="51"/>
      <c r="F44" s="51"/>
      <c r="G44" s="51"/>
      <c r="H44" s="51"/>
      <c r="I44" s="51"/>
    </row>
    <row r="45" spans="1:9" x14ac:dyDescent="0.25">
      <c r="A45" s="51"/>
      <c r="B45" s="51"/>
      <c r="C45" s="51"/>
      <c r="D45" s="51"/>
      <c r="E45" s="51"/>
      <c r="F45" s="51"/>
      <c r="G45" s="51"/>
      <c r="H45" s="51"/>
      <c r="I45" s="51"/>
    </row>
  </sheetData>
  <sheetProtection password="CC3D" sheet="1" objects="1" scenarios="1"/>
  <mergeCells count="8">
    <mergeCell ref="A1:I1"/>
    <mergeCell ref="A24:B24"/>
    <mergeCell ref="A25:B26"/>
    <mergeCell ref="A28:B28"/>
    <mergeCell ref="A29:B30"/>
    <mergeCell ref="B5:I5"/>
    <mergeCell ref="B6:I6"/>
    <mergeCell ref="B7:I7"/>
  </mergeCells>
  <pageMargins left="0.7" right="0.7" top="0.75" bottom="0.75" header="0.3" footer="0.3"/>
  <pageSetup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 tint="-0.249977111117893"/>
  </sheetPr>
  <dimension ref="B5:N20"/>
  <sheetViews>
    <sheetView workbookViewId="0">
      <selection activeCell="B5" sqref="B5:B15"/>
    </sheetView>
  </sheetViews>
  <sheetFormatPr defaultRowHeight="15" x14ac:dyDescent="0.25"/>
  <cols>
    <col min="2" max="2" width="13.5703125" customWidth="1"/>
    <col min="4" max="4" width="15.7109375" customWidth="1"/>
    <col min="6" max="6" width="18.28515625" customWidth="1"/>
    <col min="8" max="8" width="13" customWidth="1"/>
    <col min="10" max="10" width="20.85546875" customWidth="1"/>
    <col min="12" max="12" width="23.5703125" customWidth="1"/>
    <col min="14" max="14" width="12.85546875" customWidth="1"/>
  </cols>
  <sheetData>
    <row r="5" spans="2:14" ht="15.75" x14ac:dyDescent="0.25">
      <c r="B5" s="57" t="s">
        <v>34</v>
      </c>
      <c r="D5" s="57" t="s">
        <v>88</v>
      </c>
      <c r="F5" s="57" t="s">
        <v>104</v>
      </c>
      <c r="H5" s="57" t="s">
        <v>110</v>
      </c>
      <c r="J5" s="57" t="s">
        <v>117</v>
      </c>
      <c r="L5" s="57" t="s">
        <v>123</v>
      </c>
      <c r="N5" s="57" t="s">
        <v>132</v>
      </c>
    </row>
    <row r="6" spans="2:14" ht="15.75" x14ac:dyDescent="0.25">
      <c r="B6" s="57" t="s">
        <v>35</v>
      </c>
      <c r="D6" s="57" t="s">
        <v>91</v>
      </c>
      <c r="F6" s="57" t="s">
        <v>105</v>
      </c>
      <c r="H6" s="57" t="s">
        <v>111</v>
      </c>
      <c r="J6" s="57" t="s">
        <v>118</v>
      </c>
      <c r="L6" s="57" t="s">
        <v>124</v>
      </c>
      <c r="N6" s="57" t="s">
        <v>133</v>
      </c>
    </row>
    <row r="7" spans="2:14" ht="15.75" x14ac:dyDescent="0.25">
      <c r="B7" s="57" t="s">
        <v>36</v>
      </c>
      <c r="D7" s="57" t="s">
        <v>92</v>
      </c>
      <c r="F7" s="57" t="s">
        <v>106</v>
      </c>
      <c r="H7" s="57" t="s">
        <v>112</v>
      </c>
      <c r="J7" s="57" t="s">
        <v>119</v>
      </c>
      <c r="L7" s="57" t="s">
        <v>125</v>
      </c>
    </row>
    <row r="8" spans="2:14" ht="15.75" x14ac:dyDescent="0.25">
      <c r="B8" s="57" t="s">
        <v>37</v>
      </c>
      <c r="D8" s="57" t="s">
        <v>89</v>
      </c>
      <c r="F8" s="57" t="s">
        <v>107</v>
      </c>
      <c r="H8" s="57" t="s">
        <v>113</v>
      </c>
      <c r="J8" s="57" t="s">
        <v>120</v>
      </c>
      <c r="L8" s="57" t="s">
        <v>126</v>
      </c>
    </row>
    <row r="9" spans="2:14" ht="15.75" x14ac:dyDescent="0.25">
      <c r="B9" s="57" t="s">
        <v>38</v>
      </c>
      <c r="D9" s="57" t="s">
        <v>90</v>
      </c>
      <c r="F9" s="57" t="s">
        <v>108</v>
      </c>
      <c r="H9" s="57" t="s">
        <v>114</v>
      </c>
      <c r="J9" s="57" t="s">
        <v>121</v>
      </c>
      <c r="L9" s="57" t="s">
        <v>127</v>
      </c>
    </row>
    <row r="10" spans="2:14" ht="15.75" x14ac:dyDescent="0.25">
      <c r="B10" s="57" t="s">
        <v>39</v>
      </c>
      <c r="D10" s="57" t="s">
        <v>93</v>
      </c>
      <c r="F10" s="57" t="s">
        <v>109</v>
      </c>
      <c r="H10" s="57" t="s">
        <v>115</v>
      </c>
      <c r="J10" s="57" t="s">
        <v>122</v>
      </c>
      <c r="L10" s="57" t="s">
        <v>128</v>
      </c>
    </row>
    <row r="11" spans="2:14" ht="15.75" x14ac:dyDescent="0.25">
      <c r="B11" s="57" t="s">
        <v>40</v>
      </c>
      <c r="D11" s="57" t="s">
        <v>94</v>
      </c>
      <c r="H11" s="57" t="s">
        <v>116</v>
      </c>
      <c r="L11" s="57" t="s">
        <v>129</v>
      </c>
    </row>
    <row r="12" spans="2:14" ht="15.75" x14ac:dyDescent="0.25">
      <c r="B12" s="57" t="s">
        <v>41</v>
      </c>
      <c r="D12" s="57" t="s">
        <v>95</v>
      </c>
      <c r="L12" s="57" t="s">
        <v>130</v>
      </c>
    </row>
    <row r="13" spans="2:14" ht="15.75" x14ac:dyDescent="0.25">
      <c r="B13" s="57" t="s">
        <v>42</v>
      </c>
      <c r="D13" s="57" t="s">
        <v>96</v>
      </c>
      <c r="L13" s="57" t="s">
        <v>131</v>
      </c>
    </row>
    <row r="14" spans="2:14" ht="15.75" x14ac:dyDescent="0.25">
      <c r="B14" s="57" t="s">
        <v>43</v>
      </c>
      <c r="D14" s="57" t="s">
        <v>97</v>
      </c>
    </row>
    <row r="15" spans="2:14" ht="15.75" x14ac:dyDescent="0.25">
      <c r="B15" s="57" t="s">
        <v>87</v>
      </c>
      <c r="D15" s="57" t="s">
        <v>98</v>
      </c>
    </row>
    <row r="16" spans="2:14" ht="15.75" x14ac:dyDescent="0.25">
      <c r="D16" s="57" t="s">
        <v>99</v>
      </c>
    </row>
    <row r="17" spans="4:4" ht="15.75" x14ac:dyDescent="0.25">
      <c r="D17" s="57" t="s">
        <v>100</v>
      </c>
    </row>
    <row r="18" spans="4:4" ht="15.75" x14ac:dyDescent="0.25">
      <c r="D18" s="57" t="s">
        <v>101</v>
      </c>
    </row>
    <row r="19" spans="4:4" ht="15.75" x14ac:dyDescent="0.25">
      <c r="D19" s="57" t="s">
        <v>102</v>
      </c>
    </row>
    <row r="20" spans="4:4" ht="15.75" x14ac:dyDescent="0.25">
      <c r="D20" s="57" t="s">
        <v>103</v>
      </c>
    </row>
  </sheetData>
  <sheetProtection password="CC3D" sheet="1" objects="1" scenarios="1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activeCell="L18" sqref="L18"/>
    </sheetView>
  </sheetViews>
  <sheetFormatPr defaultRowHeight="15" x14ac:dyDescent="0.25"/>
  <sheetData/>
  <sheetProtection password="CC3D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10</vt:i4>
      </vt:variant>
    </vt:vector>
  </HeadingPairs>
  <TitlesOfParts>
    <vt:vector size="23" baseType="lpstr">
      <vt:lpstr>HOME</vt:lpstr>
      <vt:lpstr>ABOUT</vt:lpstr>
      <vt:lpstr>LEARNERS DETAILS</vt:lpstr>
      <vt:lpstr>TEACHERS DETAILS</vt:lpstr>
      <vt:lpstr>LEARNERS EMIS DATA</vt:lpstr>
      <vt:lpstr>TEACHERS EMIS DATA</vt:lpstr>
      <vt:lpstr>FEES PAYMENT TABLE</vt:lpstr>
      <vt:lpstr>ADM RECEIPT</vt:lpstr>
      <vt:lpstr>FEES PAYMENT RECEIPT</vt:lpstr>
      <vt:lpstr>LEARNERS EMIS INFO</vt:lpstr>
      <vt:lpstr>TEACHERS EMIS INFO</vt:lpstr>
      <vt:lpstr>SETTINGS</vt:lpstr>
      <vt:lpstr>LOGIN</vt:lpstr>
      <vt:lpstr>ADMLEARNERS</vt:lpstr>
      <vt:lpstr>BANKS</vt:lpstr>
      <vt:lpstr>CLASS</vt:lpstr>
      <vt:lpstr>DESIGNATION</vt:lpstr>
      <vt:lpstr>DESIGNITION</vt:lpstr>
      <vt:lpstr>FEESS</vt:lpstr>
      <vt:lpstr>QUAL</vt:lpstr>
      <vt:lpstr>RELATIONSHIPS</vt:lpstr>
      <vt:lpstr>STATUS</vt:lpstr>
      <vt:lpstr>SUBJECTS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2026-10-09T14:06:18Z</dcterms:modified>
</cp:coreProperties>
</file>